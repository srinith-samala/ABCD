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nith Samala\Downloads\"/>
    </mc:Choice>
  </mc:AlternateContent>
  <xr:revisionPtr revIDLastSave="0" documentId="13_ncr:1_{FB7CD6C7-A5CE-44B8-BC31-06AFE44E9C0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Kirana" sheetId="3" r:id="rId1"/>
    <sheet name="Panner Gas Koyla Chuken Fish" sheetId="4" r:id="rId2"/>
    <sheet name="Packing" sheetId="5" r:id="rId3"/>
    <sheet name="Veg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0" i="3" l="1"/>
  <c r="F129" i="3"/>
  <c r="F41" i="5" l="1"/>
  <c r="F40" i="5"/>
  <c r="F35" i="4" l="1"/>
  <c r="F23" i="6" l="1"/>
  <c r="F22" i="6"/>
  <c r="F21" i="6"/>
  <c r="F20" i="6"/>
  <c r="F19" i="6"/>
  <c r="F18" i="6"/>
  <c r="C4" i="5"/>
  <c r="C5" i="5"/>
  <c r="C8" i="5"/>
  <c r="C9" i="5"/>
  <c r="C14" i="5"/>
  <c r="C28" i="5"/>
  <c r="C30" i="5"/>
  <c r="F13" i="4"/>
  <c r="F86" i="3"/>
  <c r="F17" i="6" l="1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24" i="6" s="1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42" i="5" l="1"/>
  <c r="F34" i="4"/>
  <c r="F33" i="4"/>
  <c r="F32" i="4"/>
  <c r="F31" i="4"/>
  <c r="F30" i="4"/>
  <c r="F29" i="4"/>
  <c r="F28" i="4"/>
  <c r="F26" i="4"/>
  <c r="F25" i="4"/>
  <c r="F24" i="4"/>
  <c r="F23" i="4"/>
  <c r="F22" i="4"/>
  <c r="F21" i="4"/>
  <c r="F20" i="4"/>
  <c r="F17" i="4"/>
  <c r="F12" i="4"/>
  <c r="F11" i="4"/>
  <c r="F10" i="4"/>
  <c r="F9" i="4"/>
  <c r="F8" i="4"/>
  <c r="F7" i="4"/>
  <c r="F6" i="4"/>
  <c r="F5" i="4"/>
  <c r="F4" i="4"/>
  <c r="F3" i="4"/>
  <c r="F2" i="4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131" i="3" s="1"/>
  <c r="F15" i="4" l="1"/>
  <c r="F36" i="4" s="1"/>
</calcChain>
</file>

<file path=xl/sharedStrings.xml><?xml version="1.0" encoding="utf-8"?>
<sst xmlns="http://schemas.openxmlformats.org/spreadsheetml/2006/main" count="463" uniqueCount="239">
  <si>
    <t>Sr No</t>
  </si>
  <si>
    <t>Item Name</t>
  </si>
  <si>
    <t>Dispriction</t>
  </si>
  <si>
    <t>Stock In Hand</t>
  </si>
  <si>
    <t>Whear Atta</t>
  </si>
  <si>
    <t>Kg</t>
  </si>
  <si>
    <t>Maida</t>
  </si>
  <si>
    <t>CornFlower</t>
  </si>
  <si>
    <t>Momos Maida</t>
  </si>
  <si>
    <t>Potato Strarch</t>
  </si>
  <si>
    <t>Besan</t>
  </si>
  <si>
    <t>Rava</t>
  </si>
  <si>
    <t>Poha</t>
  </si>
  <si>
    <t>Tuar Dal</t>
  </si>
  <si>
    <t>Basmati Rice</t>
  </si>
  <si>
    <t>Staff Rice</t>
  </si>
  <si>
    <t>Kabuli Chana</t>
  </si>
  <si>
    <t>Oil Tin</t>
  </si>
  <si>
    <t>Tin</t>
  </si>
  <si>
    <t>Musterd Oil</t>
  </si>
  <si>
    <t>Bottel</t>
  </si>
  <si>
    <t>Coconut Oil</t>
  </si>
  <si>
    <t>Salad Oil</t>
  </si>
  <si>
    <t>Desi Ghee</t>
  </si>
  <si>
    <t>Acchar 5 Kg Jaar</t>
  </si>
  <si>
    <t>Jar</t>
  </si>
  <si>
    <t>Acchar Pouch</t>
  </si>
  <si>
    <t>Pkt</t>
  </si>
  <si>
    <t>Ajwine</t>
  </si>
  <si>
    <t>Amachur Powder</t>
  </si>
  <si>
    <t xml:space="preserve">Bush Red Colour </t>
  </si>
  <si>
    <t>Dabba</t>
  </si>
  <si>
    <t>Bush Yellow Colour</t>
  </si>
  <si>
    <t>Bush Green Colour</t>
  </si>
  <si>
    <t>Biryani Masala</t>
  </si>
  <si>
    <t>Baking Soda</t>
  </si>
  <si>
    <t>Black Salt</t>
  </si>
  <si>
    <t>Badi Souf</t>
  </si>
  <si>
    <t>Black Till</t>
  </si>
  <si>
    <t>Bamboo Shoot</t>
  </si>
  <si>
    <t>Bread Crums</t>
  </si>
  <si>
    <t>kg</t>
  </si>
  <si>
    <t>Black Bean Souce</t>
  </si>
  <si>
    <t>Black Paper Souce</t>
  </si>
  <si>
    <t>Chilly Bedgi</t>
  </si>
  <si>
    <t>Chilly Kashamiri</t>
  </si>
  <si>
    <t>Chikan Masala</t>
  </si>
  <si>
    <t>Chana Masala</t>
  </si>
  <si>
    <t>Coconut Milk Powder</t>
  </si>
  <si>
    <t>Coconut Powder</t>
  </si>
  <si>
    <t>Cooking Soda Sweet</t>
  </si>
  <si>
    <t>Chilly flax</t>
  </si>
  <si>
    <t>Chilly Powder</t>
  </si>
  <si>
    <t>Chilly Kashamir Powder</t>
  </si>
  <si>
    <t>Chilly Souce Bottel</t>
  </si>
  <si>
    <t>Chilly Souce Pouch</t>
  </si>
  <si>
    <t>PKt</t>
  </si>
  <si>
    <t>Chilly Souce Can</t>
  </si>
  <si>
    <t>Can</t>
  </si>
  <si>
    <t>Chat Masala</t>
  </si>
  <si>
    <t>Dhaniya</t>
  </si>
  <si>
    <t>Dhaniya Powder</t>
  </si>
  <si>
    <t>Dalchini</t>
  </si>
  <si>
    <t>Elayachi Black</t>
  </si>
  <si>
    <t>Elayachi Green</t>
  </si>
  <si>
    <t>Fish Masala</t>
  </si>
  <si>
    <t>Fish Souce</t>
  </si>
  <si>
    <t>Fish Oil</t>
  </si>
  <si>
    <t>Fruit Cocktail Tin</t>
  </si>
  <si>
    <t>Garam Masala</t>
  </si>
  <si>
    <t>Gulab Water Bottel</t>
  </si>
  <si>
    <t>Green Curry Paste</t>
  </si>
  <si>
    <t>Hing Compound</t>
  </si>
  <si>
    <t>Hing Powder</t>
  </si>
  <si>
    <t>Haldi Powder</t>
  </si>
  <si>
    <t>Hot Chhily Souce Bottel</t>
  </si>
  <si>
    <t>Hoeny</t>
  </si>
  <si>
    <t>Imaly</t>
  </si>
  <si>
    <t>Javantri</t>
  </si>
  <si>
    <t>Jaifal</t>
  </si>
  <si>
    <t>Jeera</t>
  </si>
  <si>
    <t>Jeera Powder</t>
  </si>
  <si>
    <t>Kevra Water</t>
  </si>
  <si>
    <t>KaJu Akha</t>
  </si>
  <si>
    <t>Kaju Tukda</t>
  </si>
  <si>
    <t>Kaju Falcha</t>
  </si>
  <si>
    <t>Khas Khas</t>
  </si>
  <si>
    <t xml:space="preserve">Khopra </t>
  </si>
  <si>
    <t>Kismis</t>
  </si>
  <si>
    <t>Kaju Kani</t>
  </si>
  <si>
    <t>Kitchen Masala</t>
  </si>
  <si>
    <t>kasturi Methi</t>
  </si>
  <si>
    <t>Kokam</t>
  </si>
  <si>
    <t>Kung  Pao Souce</t>
  </si>
  <si>
    <t>Lavang</t>
  </si>
  <si>
    <t>Magaj</t>
  </si>
  <si>
    <t>Maggi Souce</t>
  </si>
  <si>
    <t>Miri Black</t>
  </si>
  <si>
    <t>Mango Pulm Tin</t>
  </si>
  <si>
    <t>Malvani Masala</t>
  </si>
  <si>
    <t>Miri White powder</t>
  </si>
  <si>
    <t xml:space="preserve">Nylon Sev </t>
  </si>
  <si>
    <t>Organo Flax</t>
  </si>
  <si>
    <t>Oyster Souce Tin</t>
  </si>
  <si>
    <t>Peri Peri</t>
  </si>
  <si>
    <t>Pista</t>
  </si>
  <si>
    <t>Pavbhaji Masala</t>
  </si>
  <si>
    <t>Papad Big</t>
  </si>
  <si>
    <t>papad Small</t>
  </si>
  <si>
    <t>Pineaapel Slice Tin</t>
  </si>
  <si>
    <t>Rai</t>
  </si>
  <si>
    <t>Saviya</t>
  </si>
  <si>
    <t>Sweet Corn Tin</t>
  </si>
  <si>
    <t>Sing Dana</t>
  </si>
  <si>
    <t>Salt</t>
  </si>
  <si>
    <t>Seasam Oil</t>
  </si>
  <si>
    <t>Star Full</t>
  </si>
  <si>
    <t>Soya Sauce Bottel</t>
  </si>
  <si>
    <t>Soya Sauce Pouch</t>
  </si>
  <si>
    <t>Soya Sauce Can</t>
  </si>
  <si>
    <t>Sugar</t>
  </si>
  <si>
    <t>Tandoori Masala</t>
  </si>
  <si>
    <t>Teriyaki Souce</t>
  </si>
  <si>
    <t>Tomato Souce Bottel</t>
  </si>
  <si>
    <t>Tomato Souce Pouch</t>
  </si>
  <si>
    <t>Tomato Souce Can</t>
  </si>
  <si>
    <t>Tejpatta</t>
  </si>
  <si>
    <t>Tea Powder</t>
  </si>
  <si>
    <t>Vinegar</t>
  </si>
  <si>
    <t>Yellow Carry Paste</t>
  </si>
  <si>
    <t>White Tll</t>
  </si>
  <si>
    <t>White Paper Powder</t>
  </si>
  <si>
    <t>8 To 9 Souce</t>
  </si>
  <si>
    <t>Mrp</t>
  </si>
  <si>
    <t>BBQ Souce</t>
  </si>
  <si>
    <t>Musturd souce</t>
  </si>
  <si>
    <t>Paneer</t>
  </si>
  <si>
    <t>Butter</t>
  </si>
  <si>
    <t>Chees</t>
  </si>
  <si>
    <t>Cream</t>
  </si>
  <si>
    <t>Ltr</t>
  </si>
  <si>
    <t>French Fry</t>
  </si>
  <si>
    <t>Green Peas</t>
  </si>
  <si>
    <t>Sweet Corn</t>
  </si>
  <si>
    <t>Steam Noodles</t>
  </si>
  <si>
    <t>Chopcy Noodels</t>
  </si>
  <si>
    <t>Roll Patta</t>
  </si>
  <si>
    <t>Mevonies</t>
  </si>
  <si>
    <t>Koyala</t>
  </si>
  <si>
    <t>Gas</t>
  </si>
  <si>
    <t>Btl</t>
  </si>
  <si>
    <t>Egg</t>
  </si>
  <si>
    <t>Boiler</t>
  </si>
  <si>
    <t>Tandoori</t>
  </si>
  <si>
    <t>Leg Bonless</t>
  </si>
  <si>
    <t>Breast Bonless</t>
  </si>
  <si>
    <t>Liver Titta</t>
  </si>
  <si>
    <t>Lolipop</t>
  </si>
  <si>
    <t>Surmai</t>
  </si>
  <si>
    <t>Pc</t>
  </si>
  <si>
    <t>Prowns</t>
  </si>
  <si>
    <t>Mandili</t>
  </si>
  <si>
    <t>Parplet Big</t>
  </si>
  <si>
    <t>Bombil</t>
  </si>
  <si>
    <t>Mutton</t>
  </si>
  <si>
    <t>Value</t>
  </si>
  <si>
    <t>Total</t>
  </si>
  <si>
    <t>Container 50ML</t>
  </si>
  <si>
    <t>Pcs</t>
  </si>
  <si>
    <t>Container 100ML</t>
  </si>
  <si>
    <t>Container 300ML</t>
  </si>
  <si>
    <t>Container 500ML</t>
  </si>
  <si>
    <t>Container 600ML</t>
  </si>
  <si>
    <t>Container 650ML</t>
  </si>
  <si>
    <t>Container Round 750ML</t>
  </si>
  <si>
    <t>Container 1000ML</t>
  </si>
  <si>
    <t>Container  kg Biryani</t>
  </si>
  <si>
    <t>pcs</t>
  </si>
  <si>
    <t>Tissue</t>
  </si>
  <si>
    <t>Silver Foil</t>
  </si>
  <si>
    <t>Clean Crap</t>
  </si>
  <si>
    <t>Hand Bag 10*14</t>
  </si>
  <si>
    <t>Hand Bag 13*16</t>
  </si>
  <si>
    <t>Hand Bag 16*20</t>
  </si>
  <si>
    <t>Cello tep</t>
  </si>
  <si>
    <t>Pouch 4*5</t>
  </si>
  <si>
    <t>Pouch 6*8</t>
  </si>
  <si>
    <t>Pouch 7*9</t>
  </si>
  <si>
    <t>Pouch 8*10</t>
  </si>
  <si>
    <t>Kitchen Cap</t>
  </si>
  <si>
    <t>Toilet Tissue</t>
  </si>
  <si>
    <t>Glass Cleaner</t>
  </si>
  <si>
    <t>Surf Powder</t>
  </si>
  <si>
    <t>Garbbeg Bag</t>
  </si>
  <si>
    <t>Steel Scuber</t>
  </si>
  <si>
    <t>Kot Roll</t>
  </si>
  <si>
    <t>Scrub Pad</t>
  </si>
  <si>
    <t>Zhadu</t>
  </si>
  <si>
    <t>Kati Zhadu</t>
  </si>
  <si>
    <t>Mof Roud</t>
  </si>
  <si>
    <t>Mof Refil</t>
  </si>
  <si>
    <t xml:space="preserve">Box </t>
  </si>
  <si>
    <t>Paper Bag</t>
  </si>
  <si>
    <t>Kapda</t>
  </si>
  <si>
    <t>Toilet Cleaner</t>
  </si>
  <si>
    <t>Baby Corn</t>
  </si>
  <si>
    <t>Brokali</t>
  </si>
  <si>
    <t>Jugani</t>
  </si>
  <si>
    <t>Masharom</t>
  </si>
  <si>
    <t>Patta Gobi</t>
  </si>
  <si>
    <t>Shimla</t>
  </si>
  <si>
    <t>Tomato</t>
  </si>
  <si>
    <t>Aloo</t>
  </si>
  <si>
    <t>Onion</t>
  </si>
  <si>
    <t>Cucumber</t>
  </si>
  <si>
    <t>Carrot</t>
  </si>
  <si>
    <t>Nariyal</t>
  </si>
  <si>
    <t>Flower</t>
  </si>
  <si>
    <t>ChinesCabbege</t>
  </si>
  <si>
    <t>Lasun Akkha</t>
  </si>
  <si>
    <t>Dahi</t>
  </si>
  <si>
    <t>Bdl</t>
  </si>
  <si>
    <t>Puduna</t>
  </si>
  <si>
    <t xml:space="preserve">Mirchi </t>
  </si>
  <si>
    <t>Adarak</t>
  </si>
  <si>
    <t>Beans</t>
  </si>
  <si>
    <t>lemon</t>
  </si>
  <si>
    <t>Madras Curry</t>
  </si>
  <si>
    <t>ravas</t>
  </si>
  <si>
    <t>Hara Vatana</t>
  </si>
  <si>
    <t>Bangda</t>
  </si>
  <si>
    <t>Finel</t>
  </si>
  <si>
    <t>Dish Wash</t>
  </si>
  <si>
    <t>Hand Wash</t>
  </si>
  <si>
    <t>Aromatic Powder</t>
  </si>
  <si>
    <t>Soya Bean Small</t>
  </si>
  <si>
    <t>.</t>
  </si>
  <si>
    <t>maggi Masala</t>
  </si>
  <si>
    <t>Khichiya Papad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</si>
</sst>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1" fontId="1" fillId="0" borderId="1" xfId="0" applyNumberFormat="1" applyFont="1" applyBorder="1"/>
    <xf numFmtId="0" fontId="0" fillId="0" borderId="2" xfId="0" applyBorder="1"/>
    <xf numFmtId="0" fontId="0" fillId="2" borderId="1" xfId="0" applyFill="1" applyBorder="1"/>
    <xf numFmtId="0" fontId="1" fillId="0" borderId="3" xfId="0" applyFont="1" applyBorder="1"/>
    <xf numFmtId="0" fontId="0" fillId="0" borderId="4" xfId="0" applyBorder="1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1" fontId="1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9"/>
  <sheetViews>
    <sheetView workbookViewId="0">
      <selection activeCell="F132" sqref="F132"/>
    </sheetView>
  </sheetViews>
  <sheetFormatPr defaultRowHeight="14.4" x14ac:dyDescent="0.3"/>
  <cols>
    <col min="2" max="2" width="20.33203125" bestFit="1" customWidth="1"/>
    <col min="4" max="4" width="9.6640625" bestFit="1" customWidth="1"/>
    <col min="5" max="5" width="12.109375" bestFit="1" customWidth="1"/>
  </cols>
  <sheetData>
    <row r="1" spans="1:6" x14ac:dyDescent="0.3">
      <c r="A1" s="1" t="s">
        <v>0</v>
      </c>
      <c r="B1" s="1" t="s">
        <v>1</v>
      </c>
      <c r="C1" s="1" t="s">
        <v>133</v>
      </c>
      <c r="D1" s="1" t="s">
        <v>2</v>
      </c>
      <c r="E1" s="1" t="s">
        <v>3</v>
      </c>
      <c r="F1" s="1" t="s">
        <v>165</v>
      </c>
    </row>
    <row r="2" spans="1:6" x14ac:dyDescent="0.3">
      <c r="A2" s="1">
        <v>1</v>
      </c>
      <c r="B2" s="1" t="s">
        <v>4</v>
      </c>
      <c r="C2" s="1">
        <v>33</v>
      </c>
      <c r="D2" s="1" t="s">
        <v>5</v>
      </c>
      <c r="E2" s="1">
        <v>60</v>
      </c>
      <c r="F2" s="1">
        <f>C2*E2</f>
        <v>1980</v>
      </c>
    </row>
    <row r="3" spans="1:6" x14ac:dyDescent="0.3">
      <c r="A3" s="1">
        <v>2</v>
      </c>
      <c r="B3" s="1" t="s">
        <v>6</v>
      </c>
      <c r="C3" s="1">
        <v>36</v>
      </c>
      <c r="D3" s="1" t="s">
        <v>5</v>
      </c>
      <c r="E3" s="1">
        <v>35</v>
      </c>
      <c r="F3" s="1">
        <f t="shared" ref="F3:F63" si="0">C3*E3</f>
        <v>1260</v>
      </c>
    </row>
    <row r="4" spans="1:6" x14ac:dyDescent="0.3">
      <c r="A4" s="1">
        <v>3</v>
      </c>
      <c r="B4" s="1" t="s">
        <v>7</v>
      </c>
      <c r="C4" s="1">
        <v>40</v>
      </c>
      <c r="D4" s="1" t="s">
        <v>5</v>
      </c>
      <c r="E4" s="1">
        <v>10</v>
      </c>
      <c r="F4" s="1">
        <f t="shared" si="0"/>
        <v>400</v>
      </c>
    </row>
    <row r="5" spans="1:6" x14ac:dyDescent="0.3">
      <c r="A5" s="1">
        <v>4</v>
      </c>
      <c r="B5" s="1" t="s">
        <v>8</v>
      </c>
      <c r="C5" s="1">
        <v>84</v>
      </c>
      <c r="D5" s="1" t="s">
        <v>5</v>
      </c>
      <c r="E5" s="1">
        <v>2</v>
      </c>
      <c r="F5" s="1">
        <f t="shared" si="0"/>
        <v>168</v>
      </c>
    </row>
    <row r="6" spans="1:6" x14ac:dyDescent="0.3">
      <c r="A6" s="1">
        <v>5</v>
      </c>
      <c r="B6" s="1" t="s">
        <v>9</v>
      </c>
      <c r="C6" s="1">
        <v>140</v>
      </c>
      <c r="D6" s="1" t="s">
        <v>5</v>
      </c>
      <c r="E6" s="1">
        <v>1</v>
      </c>
      <c r="F6" s="1">
        <f t="shared" si="0"/>
        <v>140</v>
      </c>
    </row>
    <row r="7" spans="1:6" x14ac:dyDescent="0.3">
      <c r="A7" s="1">
        <v>6</v>
      </c>
      <c r="B7" s="1" t="s">
        <v>10</v>
      </c>
      <c r="C7" s="1">
        <v>110</v>
      </c>
      <c r="D7" s="1" t="s">
        <v>5</v>
      </c>
      <c r="E7" s="1">
        <v>1</v>
      </c>
      <c r="F7" s="1">
        <f t="shared" si="0"/>
        <v>110</v>
      </c>
    </row>
    <row r="8" spans="1:6" x14ac:dyDescent="0.3">
      <c r="A8" s="1">
        <v>7</v>
      </c>
      <c r="B8" s="1" t="s">
        <v>11</v>
      </c>
      <c r="C8" s="1">
        <v>65</v>
      </c>
      <c r="D8" s="1" t="s">
        <v>5</v>
      </c>
      <c r="E8" s="1">
        <v>3</v>
      </c>
      <c r="F8" s="1">
        <f t="shared" si="0"/>
        <v>195</v>
      </c>
    </row>
    <row r="9" spans="1:6" x14ac:dyDescent="0.3">
      <c r="A9" s="1">
        <v>8</v>
      </c>
      <c r="B9" s="1" t="s">
        <v>12</v>
      </c>
      <c r="C9" s="1">
        <v>65</v>
      </c>
      <c r="D9" s="1" t="s">
        <v>5</v>
      </c>
      <c r="E9" s="1">
        <v>3</v>
      </c>
      <c r="F9" s="1">
        <f t="shared" si="0"/>
        <v>195</v>
      </c>
    </row>
    <row r="10" spans="1:6" x14ac:dyDescent="0.3">
      <c r="A10" s="1">
        <v>9</v>
      </c>
      <c r="B10" s="1" t="s">
        <v>13</v>
      </c>
      <c r="C10" s="1">
        <v>115</v>
      </c>
      <c r="D10" s="1" t="s">
        <v>5</v>
      </c>
      <c r="E10" s="1">
        <v>8</v>
      </c>
      <c r="F10" s="1">
        <f t="shared" si="0"/>
        <v>920</v>
      </c>
    </row>
    <row r="11" spans="1:6" x14ac:dyDescent="0.3">
      <c r="A11" s="1">
        <v>10</v>
      </c>
      <c r="B11" s="1" t="s">
        <v>14</v>
      </c>
      <c r="C11" s="1">
        <v>100</v>
      </c>
      <c r="D11" s="1" t="s">
        <v>5</v>
      </c>
      <c r="E11" s="1">
        <v>60</v>
      </c>
      <c r="F11" s="1">
        <f t="shared" si="0"/>
        <v>6000</v>
      </c>
    </row>
    <row r="12" spans="1:6" x14ac:dyDescent="0.3">
      <c r="A12" s="1">
        <v>11</v>
      </c>
      <c r="B12" s="1" t="s">
        <v>15</v>
      </c>
      <c r="C12" s="1">
        <v>45</v>
      </c>
      <c r="D12" s="1" t="s">
        <v>5</v>
      </c>
      <c r="E12" s="1">
        <v>40</v>
      </c>
      <c r="F12" s="1">
        <f t="shared" si="0"/>
        <v>1800</v>
      </c>
    </row>
    <row r="13" spans="1:6" x14ac:dyDescent="0.3">
      <c r="A13" s="1">
        <v>12</v>
      </c>
      <c r="B13" s="1" t="s">
        <v>16</v>
      </c>
      <c r="C13" s="1">
        <v>150</v>
      </c>
      <c r="D13" s="1" t="s">
        <v>5</v>
      </c>
      <c r="E13" s="1">
        <v>0.5</v>
      </c>
      <c r="F13" s="1">
        <f t="shared" si="0"/>
        <v>75</v>
      </c>
    </row>
    <row r="14" spans="1:6" x14ac:dyDescent="0.3">
      <c r="A14" s="1">
        <v>13</v>
      </c>
      <c r="B14" s="1" t="s">
        <v>17</v>
      </c>
      <c r="C14" s="1">
        <v>2500</v>
      </c>
      <c r="D14" s="1" t="s">
        <v>18</v>
      </c>
      <c r="E14" s="1">
        <v>1</v>
      </c>
      <c r="F14" s="1">
        <f t="shared" si="0"/>
        <v>2500</v>
      </c>
    </row>
    <row r="15" spans="1:6" x14ac:dyDescent="0.3">
      <c r="A15" s="1">
        <v>14</v>
      </c>
      <c r="B15" s="1" t="s">
        <v>19</v>
      </c>
      <c r="C15" s="1">
        <v>140</v>
      </c>
      <c r="D15" s="1" t="s">
        <v>20</v>
      </c>
      <c r="E15" s="1">
        <v>7</v>
      </c>
      <c r="F15" s="1">
        <f t="shared" si="0"/>
        <v>980</v>
      </c>
    </row>
    <row r="16" spans="1:6" x14ac:dyDescent="0.3">
      <c r="A16" s="1">
        <v>15</v>
      </c>
      <c r="B16" s="1" t="s">
        <v>21</v>
      </c>
      <c r="C16" s="1">
        <v>540</v>
      </c>
      <c r="D16" s="1" t="s">
        <v>20</v>
      </c>
      <c r="E16" s="1">
        <v>1</v>
      </c>
      <c r="F16" s="1">
        <f t="shared" si="0"/>
        <v>540</v>
      </c>
    </row>
    <row r="17" spans="1:6" x14ac:dyDescent="0.3">
      <c r="A17" s="1">
        <v>16</v>
      </c>
      <c r="B17" s="1" t="s">
        <v>22</v>
      </c>
      <c r="C17" s="1">
        <v>150</v>
      </c>
      <c r="D17" s="1" t="s">
        <v>20</v>
      </c>
      <c r="E17" s="1">
        <v>0</v>
      </c>
      <c r="F17" s="1">
        <f t="shared" si="0"/>
        <v>0</v>
      </c>
    </row>
    <row r="18" spans="1:6" x14ac:dyDescent="0.3">
      <c r="A18" s="1">
        <v>17</v>
      </c>
      <c r="B18" s="1" t="s">
        <v>23</v>
      </c>
      <c r="C18" s="1">
        <v>700</v>
      </c>
      <c r="D18" s="1" t="s">
        <v>5</v>
      </c>
      <c r="E18" s="1">
        <v>6</v>
      </c>
      <c r="F18" s="1">
        <f t="shared" si="0"/>
        <v>4200</v>
      </c>
    </row>
    <row r="19" spans="1:6" x14ac:dyDescent="0.3">
      <c r="A19" s="1">
        <v>18</v>
      </c>
      <c r="B19" s="1" t="s">
        <v>24</v>
      </c>
      <c r="C19" s="1">
        <v>250</v>
      </c>
      <c r="D19" s="1" t="s">
        <v>25</v>
      </c>
      <c r="E19" s="1">
        <v>1</v>
      </c>
      <c r="F19" s="1">
        <f t="shared" si="0"/>
        <v>250</v>
      </c>
    </row>
    <row r="20" spans="1:6" x14ac:dyDescent="0.3">
      <c r="A20" s="1">
        <v>19</v>
      </c>
      <c r="B20" s="1" t="s">
        <v>26</v>
      </c>
      <c r="C20" s="1">
        <v>96</v>
      </c>
      <c r="D20" s="1" t="s">
        <v>27</v>
      </c>
      <c r="E20" s="1">
        <v>1</v>
      </c>
      <c r="F20" s="1">
        <f t="shared" si="0"/>
        <v>96</v>
      </c>
    </row>
    <row r="21" spans="1:6" x14ac:dyDescent="0.3">
      <c r="A21" s="1">
        <v>20</v>
      </c>
      <c r="B21" s="1" t="s">
        <v>28</v>
      </c>
      <c r="C21" s="1">
        <v>400</v>
      </c>
      <c r="D21" s="1" t="s">
        <v>5</v>
      </c>
      <c r="E21" s="1">
        <v>1</v>
      </c>
      <c r="F21" s="1">
        <f t="shared" si="0"/>
        <v>400</v>
      </c>
    </row>
    <row r="22" spans="1:6" x14ac:dyDescent="0.3">
      <c r="A22" s="1">
        <v>21</v>
      </c>
      <c r="B22" s="1" t="s">
        <v>29</v>
      </c>
      <c r="C22" s="1">
        <v>320</v>
      </c>
      <c r="D22" s="1" t="s">
        <v>5</v>
      </c>
      <c r="E22" s="1">
        <v>0.25</v>
      </c>
      <c r="F22" s="1">
        <f t="shared" si="0"/>
        <v>80</v>
      </c>
    </row>
    <row r="23" spans="1:6" x14ac:dyDescent="0.3">
      <c r="A23" s="1">
        <v>22</v>
      </c>
      <c r="B23" s="1" t="s">
        <v>234</v>
      </c>
      <c r="C23" s="1">
        <v>200</v>
      </c>
      <c r="D23" s="1" t="s">
        <v>5</v>
      </c>
      <c r="E23" s="1">
        <v>0.5</v>
      </c>
      <c r="F23" s="1">
        <f t="shared" si="0"/>
        <v>100</v>
      </c>
    </row>
    <row r="24" spans="1:6" x14ac:dyDescent="0.3">
      <c r="A24" s="1">
        <v>23</v>
      </c>
      <c r="B24" s="1" t="s">
        <v>30</v>
      </c>
      <c r="C24" s="1">
        <v>65</v>
      </c>
      <c r="D24" s="1" t="s">
        <v>31</v>
      </c>
      <c r="E24" s="1">
        <v>0</v>
      </c>
      <c r="F24" s="1">
        <f t="shared" si="0"/>
        <v>0</v>
      </c>
    </row>
    <row r="25" spans="1:6" x14ac:dyDescent="0.3">
      <c r="A25" s="1">
        <v>24</v>
      </c>
      <c r="B25" s="1" t="s">
        <v>32</v>
      </c>
      <c r="C25" s="1">
        <v>65</v>
      </c>
      <c r="D25" s="1" t="s">
        <v>31</v>
      </c>
      <c r="E25" s="1">
        <v>1</v>
      </c>
      <c r="F25" s="1">
        <f t="shared" si="0"/>
        <v>65</v>
      </c>
    </row>
    <row r="26" spans="1:6" x14ac:dyDescent="0.3">
      <c r="A26" s="1">
        <v>25</v>
      </c>
      <c r="B26" s="1" t="s">
        <v>33</v>
      </c>
      <c r="C26" s="1">
        <v>65</v>
      </c>
      <c r="D26" s="1" t="s">
        <v>31</v>
      </c>
      <c r="E26" s="1">
        <v>2</v>
      </c>
      <c r="F26" s="1">
        <f t="shared" si="0"/>
        <v>130</v>
      </c>
    </row>
    <row r="27" spans="1:6" x14ac:dyDescent="0.3">
      <c r="A27" s="1">
        <v>26</v>
      </c>
      <c r="B27" s="1" t="s">
        <v>34</v>
      </c>
      <c r="C27" s="1">
        <v>700</v>
      </c>
      <c r="D27" s="1" t="s">
        <v>5</v>
      </c>
      <c r="E27" s="1">
        <v>1.5</v>
      </c>
      <c r="F27" s="1">
        <f t="shared" si="0"/>
        <v>1050</v>
      </c>
    </row>
    <row r="28" spans="1:6" x14ac:dyDescent="0.3">
      <c r="A28" s="1">
        <v>27</v>
      </c>
      <c r="B28" s="1" t="s">
        <v>35</v>
      </c>
      <c r="C28" s="1">
        <v>110</v>
      </c>
      <c r="D28" s="1" t="s">
        <v>5</v>
      </c>
      <c r="E28" s="1">
        <v>0.25</v>
      </c>
      <c r="F28" s="1">
        <f t="shared" si="0"/>
        <v>27.5</v>
      </c>
    </row>
    <row r="29" spans="1:6" x14ac:dyDescent="0.3">
      <c r="A29" s="1">
        <v>28</v>
      </c>
      <c r="B29" s="1" t="s">
        <v>36</v>
      </c>
      <c r="C29" s="1">
        <v>40</v>
      </c>
      <c r="D29" s="1" t="s">
        <v>5</v>
      </c>
      <c r="E29" s="1">
        <v>2</v>
      </c>
      <c r="F29" s="1">
        <f t="shared" si="0"/>
        <v>80</v>
      </c>
    </row>
    <row r="30" spans="1:6" x14ac:dyDescent="0.3">
      <c r="A30" s="1">
        <v>29</v>
      </c>
      <c r="B30" s="1" t="s">
        <v>37</v>
      </c>
      <c r="C30" s="1">
        <v>400</v>
      </c>
      <c r="D30" s="1" t="s">
        <v>5</v>
      </c>
      <c r="E30" s="1">
        <v>0.5</v>
      </c>
      <c r="F30" s="1">
        <f t="shared" si="0"/>
        <v>200</v>
      </c>
    </row>
    <row r="31" spans="1:6" x14ac:dyDescent="0.3">
      <c r="A31" s="1">
        <v>30</v>
      </c>
      <c r="B31" s="1" t="s">
        <v>134</v>
      </c>
      <c r="C31" s="1">
        <v>150</v>
      </c>
      <c r="D31" s="1" t="s">
        <v>5</v>
      </c>
      <c r="E31" s="1">
        <v>2</v>
      </c>
      <c r="F31" s="1">
        <f t="shared" si="0"/>
        <v>300</v>
      </c>
    </row>
    <row r="32" spans="1:6" x14ac:dyDescent="0.3">
      <c r="A32" s="1">
        <v>31</v>
      </c>
      <c r="B32" s="1" t="s">
        <v>38</v>
      </c>
      <c r="C32" s="1">
        <v>320</v>
      </c>
      <c r="D32" s="1" t="s">
        <v>5</v>
      </c>
      <c r="E32" s="1">
        <v>1</v>
      </c>
      <c r="F32" s="1">
        <f t="shared" si="0"/>
        <v>320</v>
      </c>
    </row>
    <row r="33" spans="1:6" x14ac:dyDescent="0.3">
      <c r="A33" s="1">
        <v>32</v>
      </c>
      <c r="B33" s="1" t="s">
        <v>39</v>
      </c>
      <c r="C33" s="1">
        <v>330</v>
      </c>
      <c r="D33" s="1" t="s">
        <v>18</v>
      </c>
      <c r="E33" s="1">
        <v>2</v>
      </c>
      <c r="F33" s="1">
        <f t="shared" si="0"/>
        <v>660</v>
      </c>
    </row>
    <row r="34" spans="1:6" x14ac:dyDescent="0.3">
      <c r="A34" s="1">
        <v>33</v>
      </c>
      <c r="B34" s="1" t="s">
        <v>40</v>
      </c>
      <c r="C34" s="1">
        <v>300</v>
      </c>
      <c r="D34" s="1" t="s">
        <v>41</v>
      </c>
      <c r="E34" s="1">
        <v>0.5</v>
      </c>
      <c r="F34" s="1">
        <f t="shared" si="0"/>
        <v>150</v>
      </c>
    </row>
    <row r="35" spans="1:6" x14ac:dyDescent="0.3">
      <c r="A35" s="1">
        <v>34</v>
      </c>
      <c r="B35" s="1" t="s">
        <v>42</v>
      </c>
      <c r="C35" s="1">
        <v>110</v>
      </c>
      <c r="D35" s="1" t="s">
        <v>20</v>
      </c>
      <c r="E35" s="1">
        <v>1</v>
      </c>
      <c r="F35" s="1">
        <f t="shared" si="0"/>
        <v>110</v>
      </c>
    </row>
    <row r="36" spans="1:6" x14ac:dyDescent="0.3">
      <c r="A36" s="1">
        <v>35</v>
      </c>
      <c r="B36" s="1" t="s">
        <v>43</v>
      </c>
      <c r="C36" s="1">
        <v>150</v>
      </c>
      <c r="D36" s="1" t="s">
        <v>20</v>
      </c>
      <c r="E36" s="1">
        <v>0</v>
      </c>
      <c r="F36" s="1">
        <f t="shared" si="0"/>
        <v>0</v>
      </c>
    </row>
    <row r="37" spans="1:6" x14ac:dyDescent="0.3">
      <c r="A37" s="1">
        <v>36</v>
      </c>
      <c r="B37" s="1" t="s">
        <v>44</v>
      </c>
      <c r="C37" s="1">
        <v>200</v>
      </c>
      <c r="D37" s="1" t="s">
        <v>5</v>
      </c>
      <c r="E37" s="1">
        <v>0</v>
      </c>
      <c r="F37" s="1">
        <f t="shared" si="0"/>
        <v>0</v>
      </c>
    </row>
    <row r="38" spans="1:6" x14ac:dyDescent="0.3">
      <c r="A38" s="1">
        <v>37</v>
      </c>
      <c r="B38" s="1" t="s">
        <v>45</v>
      </c>
      <c r="C38" s="1">
        <v>380</v>
      </c>
      <c r="D38" s="1" t="s">
        <v>5</v>
      </c>
      <c r="E38" s="1">
        <v>4</v>
      </c>
      <c r="F38" s="1">
        <f t="shared" si="0"/>
        <v>1520</v>
      </c>
    </row>
    <row r="39" spans="1:6" x14ac:dyDescent="0.3">
      <c r="A39" s="1">
        <v>38</v>
      </c>
      <c r="B39" s="1" t="s">
        <v>46</v>
      </c>
      <c r="C39" s="1">
        <v>450</v>
      </c>
      <c r="D39" s="1" t="s">
        <v>5</v>
      </c>
      <c r="E39" s="1">
        <v>0</v>
      </c>
      <c r="F39" s="1">
        <f t="shared" si="0"/>
        <v>0</v>
      </c>
    </row>
    <row r="40" spans="1:6" x14ac:dyDescent="0.3">
      <c r="A40" s="1">
        <v>39</v>
      </c>
      <c r="B40" s="1" t="s">
        <v>47</v>
      </c>
      <c r="C40" s="1">
        <v>280</v>
      </c>
      <c r="D40" s="1" t="s">
        <v>5</v>
      </c>
      <c r="E40" s="1">
        <v>0</v>
      </c>
      <c r="F40" s="1">
        <f t="shared" si="0"/>
        <v>0</v>
      </c>
    </row>
    <row r="41" spans="1:6" x14ac:dyDescent="0.3">
      <c r="A41" s="1">
        <v>40</v>
      </c>
      <c r="B41" s="1" t="s">
        <v>48</v>
      </c>
      <c r="C41" s="1">
        <v>900</v>
      </c>
      <c r="D41" s="1" t="s">
        <v>5</v>
      </c>
      <c r="E41" s="1">
        <v>1</v>
      </c>
      <c r="F41" s="1">
        <f t="shared" si="0"/>
        <v>900</v>
      </c>
    </row>
    <row r="42" spans="1:6" x14ac:dyDescent="0.3">
      <c r="A42" s="1">
        <v>41</v>
      </c>
      <c r="B42" s="1" t="s">
        <v>49</v>
      </c>
      <c r="C42" s="1">
        <v>400</v>
      </c>
      <c r="D42" s="1" t="s">
        <v>5</v>
      </c>
      <c r="E42" s="1">
        <v>0.75</v>
      </c>
      <c r="F42" s="1">
        <f t="shared" si="0"/>
        <v>300</v>
      </c>
    </row>
    <row r="43" spans="1:6" x14ac:dyDescent="0.3">
      <c r="A43" s="1">
        <v>42</v>
      </c>
      <c r="B43" s="1" t="s">
        <v>50</v>
      </c>
      <c r="C43" s="1">
        <v>110</v>
      </c>
      <c r="D43" s="1" t="s">
        <v>5</v>
      </c>
      <c r="E43" s="1">
        <v>0</v>
      </c>
      <c r="F43" s="1">
        <f t="shared" si="0"/>
        <v>0</v>
      </c>
    </row>
    <row r="44" spans="1:6" x14ac:dyDescent="0.3">
      <c r="A44" s="1">
        <v>43</v>
      </c>
      <c r="B44" s="1" t="s">
        <v>51</v>
      </c>
      <c r="C44" s="1">
        <v>370</v>
      </c>
      <c r="D44" s="1" t="s">
        <v>5</v>
      </c>
      <c r="E44" s="1">
        <v>0.5</v>
      </c>
      <c r="F44" s="1">
        <f t="shared" si="0"/>
        <v>185</v>
      </c>
    </row>
    <row r="45" spans="1:6" x14ac:dyDescent="0.3">
      <c r="A45" s="1">
        <v>44</v>
      </c>
      <c r="B45" s="1" t="s">
        <v>52</v>
      </c>
      <c r="C45" s="1">
        <v>520</v>
      </c>
      <c r="D45" s="1" t="s">
        <v>5</v>
      </c>
      <c r="E45" s="1">
        <v>0.5</v>
      </c>
      <c r="F45" s="1">
        <f t="shared" si="0"/>
        <v>260</v>
      </c>
    </row>
    <row r="46" spans="1:6" x14ac:dyDescent="0.3">
      <c r="A46" s="1">
        <v>45</v>
      </c>
      <c r="B46" s="1" t="s">
        <v>53</v>
      </c>
      <c r="C46" s="1">
        <v>750</v>
      </c>
      <c r="D46" s="1" t="s">
        <v>5</v>
      </c>
      <c r="E46" s="1">
        <v>0</v>
      </c>
      <c r="F46" s="1">
        <f t="shared" si="0"/>
        <v>0</v>
      </c>
    </row>
    <row r="47" spans="1:6" x14ac:dyDescent="0.3">
      <c r="A47" s="1">
        <v>46</v>
      </c>
      <c r="B47" s="1" t="s">
        <v>54</v>
      </c>
      <c r="C47" s="1">
        <v>60</v>
      </c>
      <c r="D47" s="1" t="s">
        <v>20</v>
      </c>
      <c r="E47" s="1">
        <v>7</v>
      </c>
      <c r="F47" s="1">
        <f t="shared" si="0"/>
        <v>420</v>
      </c>
    </row>
    <row r="48" spans="1:6" x14ac:dyDescent="0.3">
      <c r="A48" s="1">
        <v>47</v>
      </c>
      <c r="B48" s="1" t="s">
        <v>55</v>
      </c>
      <c r="C48" s="1">
        <v>96</v>
      </c>
      <c r="D48" s="1" t="s">
        <v>56</v>
      </c>
      <c r="E48" s="1">
        <v>6</v>
      </c>
      <c r="F48" s="1">
        <f t="shared" si="0"/>
        <v>576</v>
      </c>
    </row>
    <row r="49" spans="1:6" x14ac:dyDescent="0.3">
      <c r="A49" s="1">
        <v>48</v>
      </c>
      <c r="B49" s="1" t="s">
        <v>57</v>
      </c>
      <c r="C49" s="1">
        <v>200</v>
      </c>
      <c r="D49" s="1" t="s">
        <v>58</v>
      </c>
      <c r="E49" s="1">
        <v>2</v>
      </c>
      <c r="F49" s="1">
        <f t="shared" si="0"/>
        <v>400</v>
      </c>
    </row>
    <row r="50" spans="1:6" x14ac:dyDescent="0.3">
      <c r="A50" s="1">
        <v>49</v>
      </c>
      <c r="B50" s="1" t="s">
        <v>59</v>
      </c>
      <c r="C50" s="1">
        <v>880</v>
      </c>
      <c r="D50" s="1" t="s">
        <v>5</v>
      </c>
      <c r="E50" s="1">
        <v>1</v>
      </c>
      <c r="F50" s="1">
        <f t="shared" si="0"/>
        <v>880</v>
      </c>
    </row>
    <row r="51" spans="1:6" x14ac:dyDescent="0.3">
      <c r="A51" s="1">
        <v>50</v>
      </c>
      <c r="B51" s="1" t="s">
        <v>60</v>
      </c>
      <c r="C51" s="1">
        <v>250</v>
      </c>
      <c r="D51" s="1" t="s">
        <v>5</v>
      </c>
      <c r="E51" s="1">
        <v>0.5</v>
      </c>
      <c r="F51" s="1">
        <f t="shared" si="0"/>
        <v>125</v>
      </c>
    </row>
    <row r="52" spans="1:6" x14ac:dyDescent="0.3">
      <c r="A52" s="1">
        <v>51</v>
      </c>
      <c r="B52" s="1" t="s">
        <v>61</v>
      </c>
      <c r="C52" s="1">
        <v>420</v>
      </c>
      <c r="D52" s="1" t="s">
        <v>5</v>
      </c>
      <c r="E52" s="1">
        <v>2</v>
      </c>
      <c r="F52" s="1">
        <f t="shared" si="0"/>
        <v>840</v>
      </c>
    </row>
    <row r="53" spans="1:6" x14ac:dyDescent="0.3">
      <c r="A53" s="1">
        <v>52</v>
      </c>
      <c r="B53" s="1" t="s">
        <v>62</v>
      </c>
      <c r="C53" s="1">
        <v>1200</v>
      </c>
      <c r="D53" s="1" t="s">
        <v>5</v>
      </c>
      <c r="E53" s="1">
        <v>0.25</v>
      </c>
      <c r="F53" s="1">
        <f t="shared" si="0"/>
        <v>300</v>
      </c>
    </row>
    <row r="54" spans="1:6" x14ac:dyDescent="0.3">
      <c r="A54" s="1">
        <v>53</v>
      </c>
      <c r="B54" s="1" t="s">
        <v>63</v>
      </c>
      <c r="C54" s="1">
        <v>2500</v>
      </c>
      <c r="D54" s="1" t="s">
        <v>5</v>
      </c>
      <c r="E54" s="1">
        <v>0.2</v>
      </c>
      <c r="F54" s="1">
        <f t="shared" si="0"/>
        <v>500</v>
      </c>
    </row>
    <row r="55" spans="1:6" x14ac:dyDescent="0.3">
      <c r="A55" s="1">
        <v>54</v>
      </c>
      <c r="B55" s="1" t="s">
        <v>64</v>
      </c>
      <c r="C55" s="1">
        <v>3500</v>
      </c>
      <c r="D55" s="1" t="s">
        <v>5</v>
      </c>
      <c r="E55" s="1">
        <v>0.75</v>
      </c>
      <c r="F55" s="1">
        <f t="shared" si="0"/>
        <v>2625</v>
      </c>
    </row>
    <row r="56" spans="1:6" x14ac:dyDescent="0.3">
      <c r="A56" s="1">
        <v>55</v>
      </c>
      <c r="B56" s="1" t="s">
        <v>65</v>
      </c>
      <c r="C56" s="1">
        <v>400</v>
      </c>
      <c r="D56" s="1" t="s">
        <v>5</v>
      </c>
      <c r="E56" s="1">
        <v>0</v>
      </c>
      <c r="F56" s="1">
        <f t="shared" si="0"/>
        <v>0</v>
      </c>
    </row>
    <row r="57" spans="1:6" x14ac:dyDescent="0.3">
      <c r="A57" s="1">
        <v>56</v>
      </c>
      <c r="B57" s="1" t="s">
        <v>66</v>
      </c>
      <c r="C57" s="1">
        <v>250</v>
      </c>
      <c r="D57" s="1" t="s">
        <v>18</v>
      </c>
      <c r="E57" s="1">
        <v>0</v>
      </c>
      <c r="F57" s="1">
        <f t="shared" si="0"/>
        <v>0</v>
      </c>
    </row>
    <row r="58" spans="1:6" x14ac:dyDescent="0.3">
      <c r="A58" s="1">
        <v>57</v>
      </c>
      <c r="B58" s="1" t="s">
        <v>67</v>
      </c>
      <c r="C58" s="1">
        <v>230</v>
      </c>
      <c r="D58" s="1" t="s">
        <v>20</v>
      </c>
      <c r="E58" s="1">
        <v>0</v>
      </c>
      <c r="F58" s="1">
        <f t="shared" si="0"/>
        <v>0</v>
      </c>
    </row>
    <row r="59" spans="1:6" x14ac:dyDescent="0.3">
      <c r="A59" s="1">
        <v>58</v>
      </c>
      <c r="B59" s="1" t="s">
        <v>68</v>
      </c>
      <c r="C59" s="1">
        <v>130</v>
      </c>
      <c r="D59" s="1" t="s">
        <v>18</v>
      </c>
      <c r="E59" s="1">
        <v>2</v>
      </c>
      <c r="F59" s="1">
        <f t="shared" si="0"/>
        <v>260</v>
      </c>
    </row>
    <row r="60" spans="1:6" x14ac:dyDescent="0.3">
      <c r="A60" s="1">
        <v>59</v>
      </c>
      <c r="B60" s="1" t="s">
        <v>69</v>
      </c>
      <c r="C60" s="1">
        <v>660</v>
      </c>
      <c r="D60" s="1" t="s">
        <v>5</v>
      </c>
      <c r="E60" s="1">
        <v>1.5</v>
      </c>
      <c r="F60" s="1">
        <f t="shared" si="0"/>
        <v>990</v>
      </c>
    </row>
    <row r="61" spans="1:6" x14ac:dyDescent="0.3">
      <c r="A61" s="1">
        <v>60</v>
      </c>
      <c r="B61" s="1" t="s">
        <v>70</v>
      </c>
      <c r="C61" s="1">
        <v>95</v>
      </c>
      <c r="D61" s="1" t="s">
        <v>20</v>
      </c>
      <c r="E61" s="1">
        <v>2</v>
      </c>
      <c r="F61" s="1">
        <f t="shared" si="0"/>
        <v>190</v>
      </c>
    </row>
    <row r="62" spans="1:6" x14ac:dyDescent="0.3">
      <c r="A62" s="1">
        <v>61</v>
      </c>
      <c r="B62" s="1" t="s">
        <v>71</v>
      </c>
      <c r="C62" s="1">
        <v>435</v>
      </c>
      <c r="D62" s="1" t="s">
        <v>18</v>
      </c>
      <c r="E62" s="1">
        <v>0.5</v>
      </c>
      <c r="F62" s="1">
        <f t="shared" si="0"/>
        <v>217.5</v>
      </c>
    </row>
    <row r="63" spans="1:6" x14ac:dyDescent="0.3">
      <c r="A63" s="1">
        <v>62</v>
      </c>
      <c r="B63" s="1" t="s">
        <v>72</v>
      </c>
      <c r="C63" s="1">
        <v>850</v>
      </c>
      <c r="D63" s="1" t="s">
        <v>5</v>
      </c>
      <c r="E63" s="1">
        <v>0</v>
      </c>
      <c r="F63" s="1">
        <f t="shared" si="0"/>
        <v>0</v>
      </c>
    </row>
    <row r="64" spans="1:6" x14ac:dyDescent="0.3">
      <c r="A64" s="1">
        <v>63</v>
      </c>
      <c r="B64" s="1" t="s">
        <v>73</v>
      </c>
      <c r="C64" s="1">
        <v>650</v>
      </c>
      <c r="D64" s="1" t="s">
        <v>5</v>
      </c>
      <c r="E64" s="1">
        <v>0</v>
      </c>
      <c r="F64" s="1">
        <f t="shared" ref="F64:F130" si="1">C64*E64</f>
        <v>0</v>
      </c>
    </row>
    <row r="65" spans="1:6" x14ac:dyDescent="0.3">
      <c r="A65" s="1">
        <v>64</v>
      </c>
      <c r="B65" s="1" t="s">
        <v>74</v>
      </c>
      <c r="C65" s="1">
        <v>370</v>
      </c>
      <c r="D65" s="1" t="s">
        <v>5</v>
      </c>
      <c r="E65" s="1">
        <v>0.25</v>
      </c>
      <c r="F65" s="1">
        <f t="shared" si="1"/>
        <v>92.5</v>
      </c>
    </row>
    <row r="66" spans="1:6" x14ac:dyDescent="0.3">
      <c r="A66" s="1">
        <v>65</v>
      </c>
      <c r="B66" s="1" t="s">
        <v>75</v>
      </c>
      <c r="C66" s="1">
        <v>135</v>
      </c>
      <c r="D66" s="1" t="s">
        <v>20</v>
      </c>
      <c r="E66" s="1">
        <v>1</v>
      </c>
      <c r="F66" s="1">
        <f t="shared" si="1"/>
        <v>135</v>
      </c>
    </row>
    <row r="67" spans="1:6" x14ac:dyDescent="0.3">
      <c r="A67" s="1">
        <v>66</v>
      </c>
      <c r="B67" s="1" t="s">
        <v>76</v>
      </c>
      <c r="C67" s="1">
        <v>225</v>
      </c>
      <c r="D67" s="1" t="s">
        <v>20</v>
      </c>
      <c r="E67" s="1">
        <v>1</v>
      </c>
      <c r="F67" s="1">
        <f t="shared" si="1"/>
        <v>225</v>
      </c>
    </row>
    <row r="68" spans="1:6" x14ac:dyDescent="0.3">
      <c r="A68" s="1">
        <v>67</v>
      </c>
      <c r="B68" s="1" t="s">
        <v>77</v>
      </c>
      <c r="C68" s="1">
        <v>200</v>
      </c>
      <c r="D68" s="1" t="s">
        <v>5</v>
      </c>
      <c r="E68" s="1">
        <v>0.25</v>
      </c>
      <c r="F68" s="1">
        <f t="shared" si="1"/>
        <v>50</v>
      </c>
    </row>
    <row r="69" spans="1:6" x14ac:dyDescent="0.3">
      <c r="A69" s="1">
        <v>68</v>
      </c>
      <c r="B69" s="1" t="s">
        <v>78</v>
      </c>
      <c r="C69" s="1">
        <v>2740</v>
      </c>
      <c r="D69" s="1" t="s">
        <v>5</v>
      </c>
      <c r="E69" s="1">
        <v>0.25</v>
      </c>
      <c r="F69" s="1">
        <f t="shared" si="1"/>
        <v>685</v>
      </c>
    </row>
    <row r="70" spans="1:6" x14ac:dyDescent="0.3">
      <c r="A70" s="1">
        <v>69</v>
      </c>
      <c r="B70" s="1" t="s">
        <v>79</v>
      </c>
      <c r="C70" s="1">
        <v>1300</v>
      </c>
      <c r="D70" s="1" t="s">
        <v>5</v>
      </c>
      <c r="E70" s="1">
        <v>0.5</v>
      </c>
      <c r="F70" s="1">
        <f t="shared" si="1"/>
        <v>650</v>
      </c>
    </row>
    <row r="71" spans="1:6" x14ac:dyDescent="0.3">
      <c r="A71" s="1">
        <v>70</v>
      </c>
      <c r="B71" s="1" t="s">
        <v>80</v>
      </c>
      <c r="C71" s="1">
        <v>360</v>
      </c>
      <c r="D71" s="1" t="s">
        <v>5</v>
      </c>
      <c r="E71" s="1">
        <v>0.25</v>
      </c>
      <c r="F71" s="1">
        <f t="shared" si="1"/>
        <v>90</v>
      </c>
    </row>
    <row r="72" spans="1:6" x14ac:dyDescent="0.3">
      <c r="A72" s="1">
        <v>71</v>
      </c>
      <c r="B72" s="1" t="s">
        <v>81</v>
      </c>
      <c r="C72" s="1">
        <v>420</v>
      </c>
      <c r="D72" s="1" t="s">
        <v>5</v>
      </c>
      <c r="E72" s="1">
        <v>2</v>
      </c>
      <c r="F72" s="1">
        <f t="shared" si="1"/>
        <v>840</v>
      </c>
    </row>
    <row r="73" spans="1:6" x14ac:dyDescent="0.3">
      <c r="A73" s="1">
        <v>72</v>
      </c>
      <c r="B73" s="1" t="s">
        <v>82</v>
      </c>
      <c r="C73" s="1">
        <v>55</v>
      </c>
      <c r="D73" s="1" t="s">
        <v>20</v>
      </c>
      <c r="E73" s="1">
        <v>3</v>
      </c>
      <c r="F73" s="1">
        <f t="shared" si="1"/>
        <v>165</v>
      </c>
    </row>
    <row r="74" spans="1:6" x14ac:dyDescent="0.3">
      <c r="A74" s="1">
        <v>73</v>
      </c>
      <c r="B74" s="1" t="s">
        <v>83</v>
      </c>
      <c r="C74" s="1">
        <v>930</v>
      </c>
      <c r="D74" s="1" t="s">
        <v>5</v>
      </c>
      <c r="E74" s="1">
        <v>1</v>
      </c>
      <c r="F74" s="1">
        <f t="shared" si="1"/>
        <v>930</v>
      </c>
    </row>
    <row r="75" spans="1:6" x14ac:dyDescent="0.3">
      <c r="A75" s="1">
        <v>74</v>
      </c>
      <c r="B75" s="1" t="s">
        <v>84</v>
      </c>
      <c r="C75" s="1">
        <v>900</v>
      </c>
      <c r="D75" s="1" t="s">
        <v>5</v>
      </c>
      <c r="E75" s="1">
        <v>0</v>
      </c>
      <c r="F75" s="1">
        <f t="shared" si="1"/>
        <v>0</v>
      </c>
    </row>
    <row r="76" spans="1:6" x14ac:dyDescent="0.3">
      <c r="A76" s="1">
        <v>75</v>
      </c>
      <c r="B76" s="1" t="s">
        <v>85</v>
      </c>
      <c r="C76" s="1">
        <v>900</v>
      </c>
      <c r="D76" s="1" t="s">
        <v>5</v>
      </c>
      <c r="E76" s="1">
        <v>1.5</v>
      </c>
      <c r="F76" s="1">
        <f t="shared" si="1"/>
        <v>1350</v>
      </c>
    </row>
    <row r="77" spans="1:6" x14ac:dyDescent="0.3">
      <c r="A77" s="1">
        <v>76</v>
      </c>
      <c r="B77" s="1" t="s">
        <v>86</v>
      </c>
      <c r="C77" s="1">
        <v>2000</v>
      </c>
      <c r="D77" s="1" t="s">
        <v>5</v>
      </c>
      <c r="E77" s="1">
        <v>0</v>
      </c>
      <c r="F77" s="1">
        <f t="shared" si="1"/>
        <v>0</v>
      </c>
    </row>
    <row r="78" spans="1:6" x14ac:dyDescent="0.3">
      <c r="A78" s="1">
        <v>77</v>
      </c>
      <c r="B78" s="1" t="s">
        <v>87</v>
      </c>
      <c r="C78" s="1">
        <v>370</v>
      </c>
      <c r="D78" s="1" t="s">
        <v>5</v>
      </c>
      <c r="E78" s="1">
        <v>1</v>
      </c>
      <c r="F78" s="1">
        <f t="shared" si="1"/>
        <v>370</v>
      </c>
    </row>
    <row r="79" spans="1:6" x14ac:dyDescent="0.3">
      <c r="A79" s="1">
        <v>78</v>
      </c>
      <c r="B79" s="1" t="s">
        <v>88</v>
      </c>
      <c r="C79" s="1">
        <v>500</v>
      </c>
      <c r="D79" s="1" t="s">
        <v>5</v>
      </c>
      <c r="E79" s="1">
        <v>0.25</v>
      </c>
      <c r="F79" s="1">
        <f t="shared" si="1"/>
        <v>125</v>
      </c>
    </row>
    <row r="80" spans="1:6" x14ac:dyDescent="0.3">
      <c r="A80" s="1">
        <v>79</v>
      </c>
      <c r="B80" s="1" t="s">
        <v>89</v>
      </c>
      <c r="C80" s="1">
        <v>580</v>
      </c>
      <c r="D80" s="1" t="s">
        <v>5</v>
      </c>
      <c r="E80" s="1">
        <v>0.5</v>
      </c>
      <c r="F80" s="1">
        <f t="shared" si="1"/>
        <v>290</v>
      </c>
    </row>
    <row r="81" spans="1:6" x14ac:dyDescent="0.3">
      <c r="A81" s="1">
        <v>80</v>
      </c>
      <c r="B81" s="1" t="s">
        <v>90</v>
      </c>
      <c r="C81" s="1">
        <v>850</v>
      </c>
      <c r="D81" s="1" t="s">
        <v>41</v>
      </c>
      <c r="E81" s="1">
        <v>3.5</v>
      </c>
      <c r="F81" s="1">
        <f t="shared" si="1"/>
        <v>2975</v>
      </c>
    </row>
    <row r="82" spans="1:6" x14ac:dyDescent="0.3">
      <c r="A82" s="1">
        <v>81</v>
      </c>
      <c r="B82" s="1" t="s">
        <v>91</v>
      </c>
      <c r="C82" s="1">
        <v>522</v>
      </c>
      <c r="D82" s="1" t="s">
        <v>5</v>
      </c>
      <c r="E82" s="1">
        <v>1</v>
      </c>
      <c r="F82" s="1">
        <f t="shared" si="1"/>
        <v>522</v>
      </c>
    </row>
    <row r="83" spans="1:6" x14ac:dyDescent="0.3">
      <c r="A83" s="1">
        <v>82</v>
      </c>
      <c r="B83" s="1" t="s">
        <v>92</v>
      </c>
      <c r="C83" s="1">
        <v>410</v>
      </c>
      <c r="D83" s="1" t="s">
        <v>5</v>
      </c>
      <c r="E83" s="1">
        <v>0.5</v>
      </c>
      <c r="F83" s="1">
        <f t="shared" si="1"/>
        <v>205</v>
      </c>
    </row>
    <row r="84" spans="1:6" x14ac:dyDescent="0.3">
      <c r="A84" s="1">
        <v>83</v>
      </c>
      <c r="B84" s="1" t="s">
        <v>93</v>
      </c>
      <c r="C84" s="1">
        <v>210</v>
      </c>
      <c r="D84" s="1" t="s">
        <v>20</v>
      </c>
      <c r="E84" s="1">
        <v>4</v>
      </c>
      <c r="F84" s="1">
        <f t="shared" si="1"/>
        <v>840</v>
      </c>
    </row>
    <row r="85" spans="1:6" x14ac:dyDescent="0.3">
      <c r="A85" s="1">
        <v>84</v>
      </c>
      <c r="B85" s="1" t="s">
        <v>94</v>
      </c>
      <c r="C85" s="1">
        <v>1300</v>
      </c>
      <c r="D85" s="1" t="s">
        <v>5</v>
      </c>
      <c r="E85" s="1">
        <v>0.25</v>
      </c>
      <c r="F85" s="1">
        <f t="shared" si="1"/>
        <v>325</v>
      </c>
    </row>
    <row r="86" spans="1:6" x14ac:dyDescent="0.3">
      <c r="A86" s="1">
        <v>85</v>
      </c>
      <c r="B86" s="1" t="s">
        <v>219</v>
      </c>
      <c r="C86" s="1">
        <v>80</v>
      </c>
      <c r="D86" s="1" t="s">
        <v>5</v>
      </c>
      <c r="E86" s="1">
        <v>0.25</v>
      </c>
      <c r="F86" s="1">
        <f t="shared" si="1"/>
        <v>20</v>
      </c>
    </row>
    <row r="87" spans="1:6" x14ac:dyDescent="0.3">
      <c r="A87" s="1">
        <v>86</v>
      </c>
      <c r="B87" s="1" t="s">
        <v>95</v>
      </c>
      <c r="C87" s="1">
        <v>690</v>
      </c>
      <c r="D87" s="1" t="s">
        <v>5</v>
      </c>
      <c r="E87" s="1">
        <v>0.5</v>
      </c>
      <c r="F87" s="1">
        <f t="shared" si="1"/>
        <v>345</v>
      </c>
    </row>
    <row r="88" spans="1:6" x14ac:dyDescent="0.3">
      <c r="A88" s="1">
        <v>87</v>
      </c>
      <c r="B88" s="1" t="s">
        <v>96</v>
      </c>
      <c r="C88" s="1">
        <v>235</v>
      </c>
      <c r="D88" s="1" t="s">
        <v>20</v>
      </c>
      <c r="E88" s="1">
        <v>2</v>
      </c>
      <c r="F88" s="1">
        <f t="shared" si="1"/>
        <v>470</v>
      </c>
    </row>
    <row r="89" spans="1:6" x14ac:dyDescent="0.3">
      <c r="A89" s="1">
        <v>88</v>
      </c>
      <c r="B89" s="1" t="s">
        <v>97</v>
      </c>
      <c r="C89" s="1">
        <v>1050</v>
      </c>
      <c r="D89" s="1" t="s">
        <v>5</v>
      </c>
      <c r="E89" s="1">
        <v>0.25</v>
      </c>
      <c r="F89" s="1">
        <f t="shared" si="1"/>
        <v>262.5</v>
      </c>
    </row>
    <row r="90" spans="1:6" x14ac:dyDescent="0.3">
      <c r="A90" s="1">
        <v>89</v>
      </c>
      <c r="B90" s="1" t="s">
        <v>227</v>
      </c>
      <c r="C90" s="1">
        <v>500</v>
      </c>
      <c r="D90" s="1" t="s">
        <v>5</v>
      </c>
      <c r="E90" s="1">
        <v>3</v>
      </c>
      <c r="F90" s="1">
        <f t="shared" si="1"/>
        <v>1500</v>
      </c>
    </row>
    <row r="91" spans="1:6" x14ac:dyDescent="0.3">
      <c r="A91" s="1">
        <v>90</v>
      </c>
      <c r="B91" s="1" t="s">
        <v>98</v>
      </c>
      <c r="C91" s="1">
        <v>110</v>
      </c>
      <c r="D91" s="1" t="s">
        <v>18</v>
      </c>
      <c r="E91" s="1">
        <v>0</v>
      </c>
      <c r="F91" s="1">
        <f t="shared" si="1"/>
        <v>0</v>
      </c>
    </row>
    <row r="92" spans="1:6" x14ac:dyDescent="0.3">
      <c r="A92" s="1">
        <v>91</v>
      </c>
      <c r="B92" s="1" t="s">
        <v>99</v>
      </c>
      <c r="C92" s="1">
        <v>420</v>
      </c>
      <c r="D92" s="1" t="s">
        <v>5</v>
      </c>
      <c r="E92" s="1">
        <v>0</v>
      </c>
      <c r="F92" s="1">
        <f t="shared" si="1"/>
        <v>0</v>
      </c>
    </row>
    <row r="93" spans="1:6" x14ac:dyDescent="0.3">
      <c r="A93" s="1">
        <v>92</v>
      </c>
      <c r="B93" s="1" t="s">
        <v>135</v>
      </c>
      <c r="C93" s="1">
        <v>250</v>
      </c>
      <c r="D93" s="1" t="s">
        <v>18</v>
      </c>
      <c r="E93" s="1">
        <v>1</v>
      </c>
      <c r="F93" s="1">
        <f t="shared" si="1"/>
        <v>250</v>
      </c>
    </row>
    <row r="94" spans="1:6" x14ac:dyDescent="0.3">
      <c r="A94" s="1">
        <v>93</v>
      </c>
      <c r="B94" s="1" t="s">
        <v>100</v>
      </c>
      <c r="C94" s="1">
        <v>110</v>
      </c>
      <c r="D94" s="1" t="s">
        <v>5</v>
      </c>
      <c r="E94" s="1">
        <v>0</v>
      </c>
      <c r="F94" s="1">
        <f t="shared" si="1"/>
        <v>0</v>
      </c>
    </row>
    <row r="95" spans="1:6" x14ac:dyDescent="0.3">
      <c r="A95" s="1">
        <v>94</v>
      </c>
      <c r="B95" s="1" t="s">
        <v>101</v>
      </c>
      <c r="C95" s="1">
        <v>160</v>
      </c>
      <c r="D95" s="1" t="s">
        <v>5</v>
      </c>
      <c r="E95" s="1">
        <v>1</v>
      </c>
      <c r="F95" s="1">
        <f t="shared" si="1"/>
        <v>160</v>
      </c>
    </row>
    <row r="96" spans="1:6" x14ac:dyDescent="0.3">
      <c r="A96" s="1">
        <v>95</v>
      </c>
      <c r="B96" s="1" t="s">
        <v>102</v>
      </c>
      <c r="C96" s="1">
        <v>250</v>
      </c>
      <c r="D96" s="1" t="s">
        <v>5</v>
      </c>
      <c r="E96" s="1">
        <v>0.5</v>
      </c>
      <c r="F96" s="1">
        <f t="shared" si="1"/>
        <v>125</v>
      </c>
    </row>
    <row r="97" spans="1:6" x14ac:dyDescent="0.3">
      <c r="A97" s="1">
        <v>96</v>
      </c>
      <c r="B97" s="1" t="s">
        <v>103</v>
      </c>
      <c r="C97" s="1">
        <v>700</v>
      </c>
      <c r="D97" s="1" t="s">
        <v>18</v>
      </c>
      <c r="E97" s="1">
        <v>1</v>
      </c>
      <c r="F97" s="1">
        <f t="shared" si="1"/>
        <v>700</v>
      </c>
    </row>
    <row r="98" spans="1:6" x14ac:dyDescent="0.3">
      <c r="A98" s="1">
        <v>97</v>
      </c>
      <c r="B98" s="1" t="s">
        <v>104</v>
      </c>
      <c r="C98" s="1">
        <v>480</v>
      </c>
      <c r="D98" s="1" t="s">
        <v>5</v>
      </c>
      <c r="E98" s="1">
        <v>1</v>
      </c>
      <c r="F98" s="1">
        <f t="shared" si="1"/>
        <v>480</v>
      </c>
    </row>
    <row r="99" spans="1:6" x14ac:dyDescent="0.3">
      <c r="A99" s="1">
        <v>98</v>
      </c>
      <c r="B99" s="1" t="s">
        <v>105</v>
      </c>
      <c r="C99" s="1">
        <v>3000</v>
      </c>
      <c r="D99" s="1" t="s">
        <v>5</v>
      </c>
      <c r="E99" s="1">
        <v>0</v>
      </c>
      <c r="F99" s="1">
        <f t="shared" si="1"/>
        <v>0</v>
      </c>
    </row>
    <row r="100" spans="1:6" x14ac:dyDescent="0.3">
      <c r="A100" s="1">
        <v>99</v>
      </c>
      <c r="B100" s="1" t="s">
        <v>106</v>
      </c>
      <c r="C100" s="1">
        <v>790</v>
      </c>
      <c r="D100" s="1" t="s">
        <v>5</v>
      </c>
      <c r="E100" s="1">
        <v>1</v>
      </c>
      <c r="F100" s="1">
        <f t="shared" si="1"/>
        <v>790</v>
      </c>
    </row>
    <row r="101" spans="1:6" x14ac:dyDescent="0.3">
      <c r="A101" s="1">
        <v>100</v>
      </c>
      <c r="B101" s="1" t="s">
        <v>107</v>
      </c>
      <c r="C101" s="1">
        <v>320</v>
      </c>
      <c r="D101" s="1" t="s">
        <v>5</v>
      </c>
      <c r="E101" s="1">
        <v>1</v>
      </c>
      <c r="F101" s="1">
        <f t="shared" si="1"/>
        <v>320</v>
      </c>
    </row>
    <row r="102" spans="1:6" x14ac:dyDescent="0.3">
      <c r="A102" s="1">
        <v>101</v>
      </c>
      <c r="B102" s="1" t="s">
        <v>108</v>
      </c>
      <c r="C102" s="1">
        <v>130</v>
      </c>
      <c r="D102" s="1" t="s">
        <v>5</v>
      </c>
      <c r="E102" s="1">
        <v>0</v>
      </c>
      <c r="F102" s="1">
        <f t="shared" si="1"/>
        <v>0</v>
      </c>
    </row>
    <row r="103" spans="1:6" x14ac:dyDescent="0.3">
      <c r="A103" s="1">
        <v>102</v>
      </c>
      <c r="B103" s="1" t="s">
        <v>109</v>
      </c>
      <c r="C103" s="1">
        <v>350</v>
      </c>
      <c r="D103" s="1" t="s">
        <v>18</v>
      </c>
      <c r="E103" s="1">
        <v>1</v>
      </c>
      <c r="F103" s="1">
        <f t="shared" si="1"/>
        <v>350</v>
      </c>
    </row>
    <row r="104" spans="1:6" x14ac:dyDescent="0.3">
      <c r="A104" s="1">
        <v>103</v>
      </c>
      <c r="B104" s="1" t="s">
        <v>110</v>
      </c>
      <c r="C104" s="1">
        <v>130</v>
      </c>
      <c r="D104" s="1" t="s">
        <v>5</v>
      </c>
      <c r="E104" s="1">
        <v>0.25</v>
      </c>
      <c r="F104" s="1">
        <f t="shared" si="1"/>
        <v>32.5</v>
      </c>
    </row>
    <row r="105" spans="1:6" x14ac:dyDescent="0.3">
      <c r="A105" s="1">
        <v>104</v>
      </c>
      <c r="B105" s="1" t="s">
        <v>111</v>
      </c>
      <c r="C105" s="1">
        <v>60</v>
      </c>
      <c r="D105" s="1" t="s">
        <v>5</v>
      </c>
      <c r="E105" s="1">
        <v>2</v>
      </c>
      <c r="F105" s="1">
        <f t="shared" si="1"/>
        <v>120</v>
      </c>
    </row>
    <row r="106" spans="1:6" x14ac:dyDescent="0.3">
      <c r="A106" s="1">
        <v>105</v>
      </c>
      <c r="B106" s="1" t="s">
        <v>229</v>
      </c>
      <c r="C106" s="1">
        <v>150</v>
      </c>
      <c r="D106" s="1" t="s">
        <v>5</v>
      </c>
      <c r="E106" s="1">
        <v>0.5</v>
      </c>
      <c r="F106" s="1">
        <f t="shared" si="1"/>
        <v>75</v>
      </c>
    </row>
    <row r="107" spans="1:6" x14ac:dyDescent="0.3">
      <c r="A107" s="1">
        <v>106</v>
      </c>
      <c r="B107" s="1" t="s">
        <v>112</v>
      </c>
      <c r="C107" s="1">
        <v>150</v>
      </c>
      <c r="D107" s="1" t="s">
        <v>18</v>
      </c>
      <c r="E107" s="1">
        <v>2</v>
      </c>
      <c r="F107" s="1">
        <f t="shared" si="1"/>
        <v>300</v>
      </c>
    </row>
    <row r="108" spans="1:6" x14ac:dyDescent="0.3">
      <c r="A108" s="1">
        <v>107</v>
      </c>
      <c r="B108" s="1" t="s">
        <v>113</v>
      </c>
      <c r="C108" s="1">
        <v>140</v>
      </c>
      <c r="D108" s="1" t="s">
        <v>5</v>
      </c>
      <c r="E108" s="1">
        <v>0.5</v>
      </c>
      <c r="F108" s="1">
        <f t="shared" si="1"/>
        <v>70</v>
      </c>
    </row>
    <row r="109" spans="1:6" x14ac:dyDescent="0.3">
      <c r="A109" s="1">
        <v>108</v>
      </c>
      <c r="B109" s="1" t="s">
        <v>114</v>
      </c>
      <c r="C109" s="1">
        <v>28</v>
      </c>
      <c r="D109" s="1" t="s">
        <v>5</v>
      </c>
      <c r="E109" s="1">
        <v>10</v>
      </c>
      <c r="F109" s="1">
        <f t="shared" si="1"/>
        <v>280</v>
      </c>
    </row>
    <row r="110" spans="1:6" x14ac:dyDescent="0.3">
      <c r="A110" s="1">
        <v>109</v>
      </c>
      <c r="B110" s="1" t="s">
        <v>115</v>
      </c>
      <c r="C110" s="1">
        <v>530</v>
      </c>
      <c r="D110" s="1" t="s">
        <v>20</v>
      </c>
      <c r="E110" s="1">
        <v>1</v>
      </c>
      <c r="F110" s="1">
        <f t="shared" si="1"/>
        <v>530</v>
      </c>
    </row>
    <row r="111" spans="1:6" x14ac:dyDescent="0.3">
      <c r="A111" s="1">
        <v>110</v>
      </c>
      <c r="B111" s="1" t="s">
        <v>116</v>
      </c>
      <c r="C111" s="1">
        <v>1200</v>
      </c>
      <c r="D111" s="1" t="s">
        <v>5</v>
      </c>
      <c r="E111" s="1">
        <v>0.1</v>
      </c>
      <c r="F111" s="1">
        <f t="shared" si="1"/>
        <v>120</v>
      </c>
    </row>
    <row r="112" spans="1:6" x14ac:dyDescent="0.3">
      <c r="A112" s="1">
        <v>111</v>
      </c>
      <c r="B112" s="1" t="s">
        <v>235</v>
      </c>
      <c r="C112" s="1">
        <v>120</v>
      </c>
      <c r="D112" s="1" t="s">
        <v>5</v>
      </c>
      <c r="E112" s="1">
        <v>0.25</v>
      </c>
      <c r="F112" s="1">
        <f t="shared" si="1"/>
        <v>30</v>
      </c>
    </row>
    <row r="113" spans="1:6" x14ac:dyDescent="0.3">
      <c r="A113" s="1">
        <v>112</v>
      </c>
      <c r="B113" s="1" t="s">
        <v>117</v>
      </c>
      <c r="C113" s="1">
        <v>60</v>
      </c>
      <c r="D113" s="1" t="s">
        <v>20</v>
      </c>
      <c r="E113" s="1">
        <v>0</v>
      </c>
      <c r="F113" s="1">
        <f t="shared" si="1"/>
        <v>0</v>
      </c>
    </row>
    <row r="114" spans="1:6" x14ac:dyDescent="0.3">
      <c r="A114" s="1">
        <v>113</v>
      </c>
      <c r="B114" s="1" t="s">
        <v>118</v>
      </c>
      <c r="C114" s="1">
        <v>65</v>
      </c>
      <c r="D114" s="1" t="s">
        <v>27</v>
      </c>
      <c r="E114" s="1">
        <v>3</v>
      </c>
      <c r="F114" s="1">
        <f t="shared" si="1"/>
        <v>195</v>
      </c>
    </row>
    <row r="115" spans="1:6" x14ac:dyDescent="0.3">
      <c r="A115" s="1">
        <v>114</v>
      </c>
      <c r="B115" s="1" t="s">
        <v>119</v>
      </c>
      <c r="C115" s="1">
        <v>200</v>
      </c>
      <c r="D115" s="1" t="s">
        <v>58</v>
      </c>
      <c r="E115" s="1">
        <v>0</v>
      </c>
      <c r="F115" s="1">
        <f t="shared" si="1"/>
        <v>0</v>
      </c>
    </row>
    <row r="116" spans="1:6" x14ac:dyDescent="0.3">
      <c r="A116" s="1">
        <v>115</v>
      </c>
      <c r="B116" s="1" t="s">
        <v>120</v>
      </c>
      <c r="C116" s="1">
        <v>42</v>
      </c>
      <c r="D116" s="1" t="s">
        <v>5</v>
      </c>
      <c r="E116" s="1">
        <v>6</v>
      </c>
      <c r="F116" s="1">
        <f t="shared" si="1"/>
        <v>252</v>
      </c>
    </row>
    <row r="117" spans="1:6" x14ac:dyDescent="0.3">
      <c r="A117" s="1">
        <v>116</v>
      </c>
      <c r="B117" s="1" t="s">
        <v>121</v>
      </c>
      <c r="C117" s="1">
        <v>380</v>
      </c>
      <c r="D117" s="1" t="s">
        <v>5</v>
      </c>
      <c r="E117" s="1">
        <v>3</v>
      </c>
      <c r="F117" s="1">
        <f t="shared" si="1"/>
        <v>1140</v>
      </c>
    </row>
    <row r="118" spans="1:6" x14ac:dyDescent="0.3">
      <c r="A118" s="1">
        <v>117</v>
      </c>
      <c r="B118" s="1" t="s">
        <v>122</v>
      </c>
      <c r="C118" s="1">
        <v>110</v>
      </c>
      <c r="D118" s="1" t="s">
        <v>20</v>
      </c>
      <c r="E118" s="1">
        <v>3</v>
      </c>
      <c r="F118" s="1">
        <f t="shared" si="1"/>
        <v>330</v>
      </c>
    </row>
    <row r="119" spans="1:6" x14ac:dyDescent="0.3">
      <c r="A119" s="1">
        <v>118</v>
      </c>
      <c r="B119" s="1" t="s">
        <v>123</v>
      </c>
      <c r="C119" s="1">
        <v>60</v>
      </c>
      <c r="D119" s="1" t="s">
        <v>20</v>
      </c>
      <c r="E119" s="1">
        <v>3</v>
      </c>
      <c r="F119" s="1">
        <f t="shared" si="1"/>
        <v>180</v>
      </c>
    </row>
    <row r="120" spans="1:6" x14ac:dyDescent="0.3">
      <c r="A120" s="1">
        <v>119</v>
      </c>
      <c r="B120" s="1" t="s">
        <v>124</v>
      </c>
      <c r="C120" s="1">
        <v>60</v>
      </c>
      <c r="D120" s="1" t="s">
        <v>56</v>
      </c>
      <c r="E120" s="1">
        <v>0.5</v>
      </c>
      <c r="F120" s="1">
        <f t="shared" si="1"/>
        <v>30</v>
      </c>
    </row>
    <row r="121" spans="1:6" x14ac:dyDescent="0.3">
      <c r="A121" s="1">
        <v>120</v>
      </c>
      <c r="B121" s="1" t="s">
        <v>125</v>
      </c>
      <c r="C121" s="1">
        <v>200</v>
      </c>
      <c r="D121" s="1" t="s">
        <v>58</v>
      </c>
      <c r="E121" s="1">
        <v>1</v>
      </c>
      <c r="F121" s="1">
        <f t="shared" si="1"/>
        <v>200</v>
      </c>
    </row>
    <row r="122" spans="1:6" x14ac:dyDescent="0.3">
      <c r="A122" s="1">
        <v>121</v>
      </c>
      <c r="B122" s="1" t="s">
        <v>126</v>
      </c>
      <c r="C122" s="1">
        <v>400</v>
      </c>
      <c r="D122" s="1" t="s">
        <v>5</v>
      </c>
      <c r="E122" s="1">
        <v>0.25</v>
      </c>
      <c r="F122" s="1">
        <f t="shared" si="1"/>
        <v>100</v>
      </c>
    </row>
    <row r="123" spans="1:6" x14ac:dyDescent="0.3">
      <c r="A123" s="1">
        <v>122</v>
      </c>
      <c r="B123" s="1" t="s">
        <v>127</v>
      </c>
      <c r="C123" s="1">
        <v>260</v>
      </c>
      <c r="D123" s="1" t="s">
        <v>5</v>
      </c>
      <c r="E123" s="1">
        <v>1</v>
      </c>
      <c r="F123" s="1">
        <f t="shared" si="1"/>
        <v>260</v>
      </c>
    </row>
    <row r="124" spans="1:6" x14ac:dyDescent="0.3">
      <c r="A124" s="1">
        <v>123</v>
      </c>
      <c r="B124" s="1" t="s">
        <v>128</v>
      </c>
      <c r="C124" s="1">
        <v>50</v>
      </c>
      <c r="D124" s="1" t="s">
        <v>20</v>
      </c>
      <c r="E124" s="1">
        <v>3</v>
      </c>
      <c r="F124" s="1">
        <f t="shared" si="1"/>
        <v>150</v>
      </c>
    </row>
    <row r="125" spans="1:6" x14ac:dyDescent="0.3">
      <c r="A125" s="1">
        <v>124</v>
      </c>
      <c r="B125" s="1" t="s">
        <v>129</v>
      </c>
      <c r="C125" s="1">
        <v>495</v>
      </c>
      <c r="D125" s="1" t="s">
        <v>18</v>
      </c>
      <c r="E125" s="1">
        <v>0</v>
      </c>
      <c r="F125" s="1">
        <f t="shared" si="1"/>
        <v>0</v>
      </c>
    </row>
    <row r="126" spans="1:6" x14ac:dyDescent="0.3">
      <c r="A126" s="1">
        <v>125</v>
      </c>
      <c r="B126" s="1" t="s">
        <v>130</v>
      </c>
      <c r="C126" s="1">
        <v>275</v>
      </c>
      <c r="D126" s="1" t="s">
        <v>5</v>
      </c>
      <c r="E126" s="1">
        <v>0.5</v>
      </c>
      <c r="F126" s="1">
        <f t="shared" si="1"/>
        <v>137.5</v>
      </c>
    </row>
    <row r="127" spans="1:6" x14ac:dyDescent="0.3">
      <c r="A127" s="1">
        <v>126</v>
      </c>
      <c r="B127" s="1" t="s">
        <v>131</v>
      </c>
      <c r="C127" s="1">
        <v>200</v>
      </c>
      <c r="D127" s="1" t="s">
        <v>5</v>
      </c>
      <c r="E127" s="1">
        <v>2</v>
      </c>
      <c r="F127" s="1">
        <f t="shared" si="1"/>
        <v>400</v>
      </c>
    </row>
    <row r="128" spans="1:6" x14ac:dyDescent="0.3">
      <c r="A128" s="1">
        <v>127</v>
      </c>
      <c r="B128" s="1" t="s">
        <v>132</v>
      </c>
      <c r="C128" s="1">
        <v>58</v>
      </c>
      <c r="D128" s="1" t="s">
        <v>20</v>
      </c>
      <c r="E128" s="1">
        <v>5</v>
      </c>
      <c r="F128" s="1">
        <f t="shared" si="1"/>
        <v>290</v>
      </c>
    </row>
    <row r="129" spans="1:6" x14ac:dyDescent="0.3">
      <c r="A129" s="1">
        <v>128</v>
      </c>
      <c r="B129" s="1" t="s">
        <v>237</v>
      </c>
      <c r="C129" s="1">
        <v>200</v>
      </c>
      <c r="D129" s="1" t="s">
        <v>56</v>
      </c>
      <c r="E129" s="2">
        <v>1</v>
      </c>
      <c r="F129" s="3">
        <f t="shared" si="1"/>
        <v>200</v>
      </c>
    </row>
    <row r="130" spans="1:6" x14ac:dyDescent="0.3">
      <c r="A130" s="1">
        <v>129</v>
      </c>
      <c r="B130" s="1" t="s">
        <v>238</v>
      </c>
      <c r="C130" s="1">
        <v>250</v>
      </c>
      <c r="D130" s="1" t="s">
        <v>41</v>
      </c>
      <c r="E130" s="1">
        <v>1</v>
      </c>
      <c r="F130" s="1">
        <f t="shared" si="1"/>
        <v>250</v>
      </c>
    </row>
    <row r="131" spans="1:6" x14ac:dyDescent="0.3">
      <c r="F131" s="7">
        <f>SUM(F2:F130)</f>
        <v>59279</v>
      </c>
    </row>
    <row r="132" spans="1:6" x14ac:dyDescent="0.3">
      <c r="F132" s="9"/>
    </row>
    <row r="147" spans="4:4" x14ac:dyDescent="0.3">
      <c r="D147" t="s">
        <v>236</v>
      </c>
    </row>
    <row r="148" spans="4:4" x14ac:dyDescent="0.3">
      <c r="D148" t="s">
        <v>236</v>
      </c>
    </row>
    <row r="159" spans="4:4" x14ac:dyDescent="0.3">
      <c r="D159" t="s">
        <v>236</v>
      </c>
    </row>
  </sheetData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topLeftCell="A7" workbookViewId="0">
      <selection activeCell="I1" sqref="I1"/>
    </sheetView>
  </sheetViews>
  <sheetFormatPr defaultRowHeight="14.4" x14ac:dyDescent="0.3"/>
  <cols>
    <col min="2" max="2" width="14.33203125" bestFit="1" customWidth="1"/>
    <col min="5" max="5" width="20.109375" bestFit="1" customWidth="1"/>
    <col min="6" max="6" width="15.5546875" bestFit="1" customWidth="1"/>
  </cols>
  <sheetData>
    <row r="1" spans="1:6" ht="15" x14ac:dyDescent="0.3">
      <c r="A1" s="1" t="s">
        <v>0</v>
      </c>
      <c r="B1" s="1" t="s">
        <v>1</v>
      </c>
      <c r="C1" s="1" t="s">
        <v>133</v>
      </c>
      <c r="D1" s="1" t="s">
        <v>2</v>
      </c>
      <c r="E1" s="1" t="s">
        <v>3</v>
      </c>
      <c r="F1" s="1" t="s">
        <v>165</v>
      </c>
    </row>
    <row r="2" spans="1:6" ht="15" x14ac:dyDescent="0.3">
      <c r="A2" s="1">
        <v>1</v>
      </c>
      <c r="B2" s="1" t="s">
        <v>136</v>
      </c>
      <c r="C2" s="1">
        <v>330</v>
      </c>
      <c r="D2" s="1" t="s">
        <v>5</v>
      </c>
      <c r="E2" s="1">
        <v>3</v>
      </c>
      <c r="F2" s="1">
        <f>C2*E2</f>
        <v>990</v>
      </c>
    </row>
    <row r="3" spans="1:6" ht="15" x14ac:dyDescent="0.3">
      <c r="A3" s="1">
        <v>2</v>
      </c>
      <c r="B3" s="1" t="s">
        <v>137</v>
      </c>
      <c r="C3" s="1">
        <v>590</v>
      </c>
      <c r="D3" s="1" t="s">
        <v>5</v>
      </c>
      <c r="E3" s="1">
        <v>0.5</v>
      </c>
      <c r="F3" s="1">
        <f t="shared" ref="F3:F35" si="0">C3*E3</f>
        <v>295</v>
      </c>
    </row>
    <row r="4" spans="1:6" ht="15" x14ac:dyDescent="0.3">
      <c r="A4" s="1">
        <v>3</v>
      </c>
      <c r="B4" s="1" t="s">
        <v>138</v>
      </c>
      <c r="C4" s="1">
        <v>530</v>
      </c>
      <c r="D4" s="1" t="s">
        <v>5</v>
      </c>
      <c r="E4" s="1">
        <v>0.25</v>
      </c>
      <c r="F4" s="1">
        <f t="shared" si="0"/>
        <v>132.5</v>
      </c>
    </row>
    <row r="5" spans="1:6" ht="15" x14ac:dyDescent="0.3">
      <c r="A5" s="1">
        <v>4</v>
      </c>
      <c r="B5" s="1" t="s">
        <v>139</v>
      </c>
      <c r="C5" s="1">
        <v>225</v>
      </c>
      <c r="D5" s="1" t="s">
        <v>140</v>
      </c>
      <c r="E5" s="1">
        <v>0.25</v>
      </c>
      <c r="F5" s="1">
        <f t="shared" si="0"/>
        <v>56.25</v>
      </c>
    </row>
    <row r="6" spans="1:6" ht="15" x14ac:dyDescent="0.3">
      <c r="A6" s="1">
        <v>5</v>
      </c>
      <c r="B6" s="1" t="s">
        <v>141</v>
      </c>
      <c r="C6" s="1">
        <v>350</v>
      </c>
      <c r="D6" s="1" t="s">
        <v>5</v>
      </c>
      <c r="E6" s="1">
        <v>1</v>
      </c>
      <c r="F6" s="1">
        <f t="shared" si="0"/>
        <v>350</v>
      </c>
    </row>
    <row r="7" spans="1:6" ht="15" x14ac:dyDescent="0.3">
      <c r="A7" s="1">
        <v>6</v>
      </c>
      <c r="B7" s="1" t="s">
        <v>142</v>
      </c>
      <c r="C7" s="1">
        <v>90</v>
      </c>
      <c r="D7" s="1" t="s">
        <v>5</v>
      </c>
      <c r="E7" s="1">
        <v>1</v>
      </c>
      <c r="F7" s="1">
        <f t="shared" si="0"/>
        <v>90</v>
      </c>
    </row>
    <row r="8" spans="1:6" ht="15" x14ac:dyDescent="0.3">
      <c r="A8" s="1">
        <v>7</v>
      </c>
      <c r="B8" s="1" t="s">
        <v>143</v>
      </c>
      <c r="C8" s="1">
        <v>120</v>
      </c>
      <c r="D8" s="1" t="s">
        <v>5</v>
      </c>
      <c r="E8" s="1">
        <v>1</v>
      </c>
      <c r="F8" s="1">
        <f t="shared" si="0"/>
        <v>120</v>
      </c>
    </row>
    <row r="9" spans="1:6" ht="15" x14ac:dyDescent="0.3">
      <c r="A9" s="1">
        <v>8</v>
      </c>
      <c r="B9" s="1" t="s">
        <v>144</v>
      </c>
      <c r="C9" s="1">
        <v>60</v>
      </c>
      <c r="D9" s="1" t="s">
        <v>5</v>
      </c>
      <c r="E9" s="1">
        <v>2</v>
      </c>
      <c r="F9" s="1">
        <f t="shared" si="0"/>
        <v>120</v>
      </c>
    </row>
    <row r="10" spans="1:6" ht="15" x14ac:dyDescent="0.3">
      <c r="A10" s="1">
        <v>9</v>
      </c>
      <c r="B10" s="1" t="s">
        <v>145</v>
      </c>
      <c r="C10" s="1">
        <v>113</v>
      </c>
      <c r="D10" s="1" t="s">
        <v>5</v>
      </c>
      <c r="E10" s="1">
        <v>0</v>
      </c>
      <c r="F10" s="1">
        <f t="shared" si="0"/>
        <v>0</v>
      </c>
    </row>
    <row r="11" spans="1:6" ht="15" x14ac:dyDescent="0.3">
      <c r="A11" s="1">
        <v>10</v>
      </c>
      <c r="B11" s="1" t="s">
        <v>146</v>
      </c>
      <c r="C11" s="1">
        <v>140</v>
      </c>
      <c r="D11" s="1" t="s">
        <v>27</v>
      </c>
      <c r="E11" s="1">
        <v>1</v>
      </c>
      <c r="F11" s="1">
        <f t="shared" si="0"/>
        <v>140</v>
      </c>
    </row>
    <row r="12" spans="1:6" ht="15" x14ac:dyDescent="0.3">
      <c r="A12" s="1">
        <v>11</v>
      </c>
      <c r="B12" s="1" t="s">
        <v>147</v>
      </c>
      <c r="C12" s="1">
        <v>100</v>
      </c>
      <c r="D12" s="1" t="s">
        <v>5</v>
      </c>
      <c r="E12" s="1">
        <v>1</v>
      </c>
      <c r="F12" s="1">
        <f t="shared" si="0"/>
        <v>100</v>
      </c>
    </row>
    <row r="13" spans="1:6" ht="15" x14ac:dyDescent="0.3">
      <c r="A13" s="1">
        <v>12</v>
      </c>
      <c r="B13" s="1" t="s">
        <v>220</v>
      </c>
      <c r="C13" s="1">
        <v>65</v>
      </c>
      <c r="D13" s="1" t="s">
        <v>5</v>
      </c>
      <c r="E13" s="1">
        <v>3</v>
      </c>
      <c r="F13" s="1">
        <f t="shared" si="0"/>
        <v>195</v>
      </c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>
        <v>13</v>
      </c>
      <c r="B15" s="1" t="s">
        <v>148</v>
      </c>
      <c r="C15" s="1">
        <v>35</v>
      </c>
      <c r="D15" s="1" t="s">
        <v>5</v>
      </c>
      <c r="E15" s="1">
        <v>10</v>
      </c>
      <c r="F15" s="1">
        <f t="shared" si="0"/>
        <v>350</v>
      </c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1">
        <v>14</v>
      </c>
      <c r="B17" s="1" t="s">
        <v>149</v>
      </c>
      <c r="C17" s="1">
        <v>2800</v>
      </c>
      <c r="D17" s="1" t="s">
        <v>150</v>
      </c>
      <c r="E17" s="1">
        <v>1</v>
      </c>
      <c r="F17" s="1">
        <f t="shared" si="0"/>
        <v>2800</v>
      </c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">
        <v>15</v>
      </c>
      <c r="B20" s="1" t="s">
        <v>151</v>
      </c>
      <c r="C20" s="1">
        <v>7</v>
      </c>
      <c r="D20" s="1" t="s">
        <v>177</v>
      </c>
      <c r="E20" s="1">
        <v>50</v>
      </c>
      <c r="F20" s="1">
        <f t="shared" si="0"/>
        <v>350</v>
      </c>
    </row>
    <row r="21" spans="1:6" x14ac:dyDescent="0.3">
      <c r="A21" s="1">
        <v>16</v>
      </c>
      <c r="B21" s="1" t="s">
        <v>152</v>
      </c>
      <c r="C21" s="1">
        <v>230</v>
      </c>
      <c r="D21" s="1" t="s">
        <v>5</v>
      </c>
      <c r="E21" s="1">
        <v>2</v>
      </c>
      <c r="F21" s="1">
        <f t="shared" si="0"/>
        <v>460</v>
      </c>
    </row>
    <row r="22" spans="1:6" x14ac:dyDescent="0.3">
      <c r="A22" s="1">
        <v>17</v>
      </c>
      <c r="B22" s="1" t="s">
        <v>153</v>
      </c>
      <c r="C22" s="1">
        <v>203</v>
      </c>
      <c r="D22" s="1" t="s">
        <v>5</v>
      </c>
      <c r="E22" s="1">
        <v>3</v>
      </c>
      <c r="F22" s="1">
        <f t="shared" si="0"/>
        <v>609</v>
      </c>
    </row>
    <row r="23" spans="1:6" x14ac:dyDescent="0.3">
      <c r="A23" s="1">
        <v>18</v>
      </c>
      <c r="B23" s="1" t="s">
        <v>154</v>
      </c>
      <c r="C23" s="1">
        <v>300</v>
      </c>
      <c r="D23" s="1" t="s">
        <v>5</v>
      </c>
      <c r="E23" s="1">
        <v>2.5</v>
      </c>
      <c r="F23" s="1">
        <f t="shared" si="0"/>
        <v>750</v>
      </c>
    </row>
    <row r="24" spans="1:6" x14ac:dyDescent="0.3">
      <c r="A24" s="1">
        <v>19</v>
      </c>
      <c r="B24" s="1" t="s">
        <v>155</v>
      </c>
      <c r="C24" s="1">
        <v>305</v>
      </c>
      <c r="D24" s="1" t="s">
        <v>5</v>
      </c>
      <c r="E24" s="1">
        <v>2</v>
      </c>
      <c r="F24" s="1">
        <f t="shared" si="0"/>
        <v>610</v>
      </c>
    </row>
    <row r="25" spans="1:6" x14ac:dyDescent="0.3">
      <c r="A25" s="1">
        <v>20</v>
      </c>
      <c r="B25" s="1" t="s">
        <v>156</v>
      </c>
      <c r="C25" s="1">
        <v>150</v>
      </c>
      <c r="D25" s="1" t="s">
        <v>5</v>
      </c>
      <c r="E25" s="1">
        <v>0.75</v>
      </c>
      <c r="F25" s="1">
        <f t="shared" si="0"/>
        <v>112.5</v>
      </c>
    </row>
    <row r="26" spans="1:6" x14ac:dyDescent="0.3">
      <c r="A26" s="1">
        <v>21</v>
      </c>
      <c r="B26" s="1" t="s">
        <v>157</v>
      </c>
      <c r="C26" s="1">
        <v>240</v>
      </c>
      <c r="D26" s="1" t="s">
        <v>5</v>
      </c>
      <c r="E26" s="1">
        <v>3</v>
      </c>
      <c r="F26" s="1">
        <f t="shared" si="0"/>
        <v>720</v>
      </c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>
        <v>22</v>
      </c>
      <c r="B28" s="1" t="s">
        <v>158</v>
      </c>
      <c r="C28" s="1">
        <v>200</v>
      </c>
      <c r="D28" s="1" t="s">
        <v>159</v>
      </c>
      <c r="E28" s="1">
        <v>0</v>
      </c>
      <c r="F28" s="1">
        <f t="shared" si="0"/>
        <v>0</v>
      </c>
    </row>
    <row r="29" spans="1:6" x14ac:dyDescent="0.3">
      <c r="A29" s="1">
        <v>23</v>
      </c>
      <c r="B29" s="1" t="s">
        <v>228</v>
      </c>
      <c r="C29" s="1">
        <v>500</v>
      </c>
      <c r="D29" s="1" t="s">
        <v>5</v>
      </c>
      <c r="E29" s="1">
        <v>0</v>
      </c>
      <c r="F29" s="1">
        <f t="shared" si="0"/>
        <v>0</v>
      </c>
    </row>
    <row r="30" spans="1:6" x14ac:dyDescent="0.3">
      <c r="A30" s="1">
        <v>24</v>
      </c>
      <c r="B30" s="1" t="s">
        <v>160</v>
      </c>
      <c r="C30" s="1">
        <v>600</v>
      </c>
      <c r="D30" s="1" t="s">
        <v>5</v>
      </c>
      <c r="E30" s="1">
        <v>1</v>
      </c>
      <c r="F30" s="1">
        <f t="shared" si="0"/>
        <v>600</v>
      </c>
    </row>
    <row r="31" spans="1:6" x14ac:dyDescent="0.3">
      <c r="A31" s="1">
        <v>25</v>
      </c>
      <c r="B31" s="1" t="s">
        <v>161</v>
      </c>
      <c r="C31" s="1">
        <v>200</v>
      </c>
      <c r="D31" s="1" t="s">
        <v>5</v>
      </c>
      <c r="E31" s="1">
        <v>0</v>
      </c>
      <c r="F31" s="1">
        <f t="shared" si="0"/>
        <v>0</v>
      </c>
    </row>
    <row r="32" spans="1:6" x14ac:dyDescent="0.3">
      <c r="A32" s="1">
        <v>26</v>
      </c>
      <c r="B32" s="1" t="s">
        <v>162</v>
      </c>
      <c r="C32" s="1">
        <v>1000</v>
      </c>
      <c r="D32" s="1" t="s">
        <v>5</v>
      </c>
      <c r="E32" s="1">
        <v>0.25</v>
      </c>
      <c r="F32" s="1">
        <f t="shared" si="0"/>
        <v>250</v>
      </c>
    </row>
    <row r="33" spans="1:6" x14ac:dyDescent="0.3">
      <c r="A33" s="1">
        <v>28</v>
      </c>
      <c r="B33" s="1" t="s">
        <v>163</v>
      </c>
      <c r="C33" s="1">
        <v>250</v>
      </c>
      <c r="D33" s="1" t="s">
        <v>5</v>
      </c>
      <c r="E33" s="1">
        <v>0.25</v>
      </c>
      <c r="F33" s="1">
        <f t="shared" si="0"/>
        <v>62.5</v>
      </c>
    </row>
    <row r="34" spans="1:6" x14ac:dyDescent="0.3">
      <c r="A34" s="1">
        <v>29</v>
      </c>
      <c r="B34" s="1" t="s">
        <v>164</v>
      </c>
      <c r="C34" s="1">
        <v>800</v>
      </c>
      <c r="D34" s="1" t="s">
        <v>5</v>
      </c>
      <c r="E34" s="1">
        <v>1</v>
      </c>
      <c r="F34" s="1">
        <f t="shared" si="0"/>
        <v>800</v>
      </c>
    </row>
    <row r="35" spans="1:6" x14ac:dyDescent="0.3">
      <c r="A35" s="1">
        <v>30</v>
      </c>
      <c r="B35" s="1" t="s">
        <v>230</v>
      </c>
      <c r="C35" s="1">
        <v>250</v>
      </c>
      <c r="D35" s="1" t="s">
        <v>5</v>
      </c>
      <c r="E35" s="4">
        <v>0.3</v>
      </c>
      <c r="F35" s="1">
        <f t="shared" si="0"/>
        <v>75</v>
      </c>
    </row>
    <row r="36" spans="1:6" x14ac:dyDescent="0.3">
      <c r="E36" s="2" t="s">
        <v>166</v>
      </c>
      <c r="F36" s="3">
        <f>SUM(F2:F35)</f>
        <v>11137.75</v>
      </c>
    </row>
    <row r="37" spans="1:6" x14ac:dyDescent="0.3">
      <c r="F37" s="7"/>
    </row>
    <row r="38" spans="1:6" x14ac:dyDescent="0.3">
      <c r="F38" s="8"/>
    </row>
    <row r="39" spans="1:6" x14ac:dyDescent="0.3">
      <c r="F39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44"/>
  <sheetViews>
    <sheetView workbookViewId="0">
      <selection activeCell="E42" sqref="E42"/>
    </sheetView>
  </sheetViews>
  <sheetFormatPr defaultRowHeight="14.4" x14ac:dyDescent="0.3"/>
  <cols>
    <col min="2" max="2" width="21.44140625" bestFit="1" customWidth="1"/>
  </cols>
  <sheetData>
    <row r="2" spans="1:6" ht="15" x14ac:dyDescent="0.3">
      <c r="A2" s="1" t="s">
        <v>0</v>
      </c>
      <c r="B2" s="1" t="s">
        <v>1</v>
      </c>
      <c r="C2" s="1" t="s">
        <v>133</v>
      </c>
      <c r="D2" s="1" t="s">
        <v>2</v>
      </c>
      <c r="E2" s="5" t="s">
        <v>3</v>
      </c>
      <c r="F2" s="1" t="s">
        <v>166</v>
      </c>
    </row>
    <row r="3" spans="1:6" ht="15" x14ac:dyDescent="0.3">
      <c r="A3" s="1">
        <v>1</v>
      </c>
      <c r="B3" s="1" t="s">
        <v>167</v>
      </c>
      <c r="C3" s="1">
        <v>1.6</v>
      </c>
      <c r="D3" s="1" t="s">
        <v>168</v>
      </c>
      <c r="E3" s="1">
        <v>40</v>
      </c>
      <c r="F3" s="1">
        <f>C3*E3</f>
        <v>64</v>
      </c>
    </row>
    <row r="4" spans="1:6" ht="15" x14ac:dyDescent="0.3">
      <c r="A4" s="1">
        <v>2</v>
      </c>
      <c r="B4" s="1" t="s">
        <v>169</v>
      </c>
      <c r="C4" s="1">
        <f>1250/500</f>
        <v>2.5</v>
      </c>
      <c r="D4" s="1" t="s">
        <v>168</v>
      </c>
      <c r="E4" s="1">
        <v>350</v>
      </c>
      <c r="F4" s="1">
        <f t="shared" ref="F4:F41" si="0">C4*E4</f>
        <v>875</v>
      </c>
    </row>
    <row r="5" spans="1:6" ht="15" x14ac:dyDescent="0.3">
      <c r="A5" s="1">
        <v>3</v>
      </c>
      <c r="B5" s="1" t="s">
        <v>170</v>
      </c>
      <c r="C5" s="1">
        <f>1800/400</f>
        <v>4.5</v>
      </c>
      <c r="D5" s="1" t="s">
        <v>168</v>
      </c>
      <c r="E5" s="1">
        <v>200</v>
      </c>
      <c r="F5" s="1">
        <f t="shared" si="0"/>
        <v>900</v>
      </c>
    </row>
    <row r="6" spans="1:6" ht="15" x14ac:dyDescent="0.3">
      <c r="A6" s="1">
        <v>4</v>
      </c>
      <c r="B6" s="1" t="s">
        <v>171</v>
      </c>
      <c r="C6" s="1">
        <v>5</v>
      </c>
      <c r="D6" s="1" t="s">
        <v>168</v>
      </c>
      <c r="E6" s="1">
        <v>150</v>
      </c>
      <c r="F6" s="1">
        <f t="shared" si="0"/>
        <v>750</v>
      </c>
    </row>
    <row r="7" spans="1:6" ht="15" x14ac:dyDescent="0.3">
      <c r="A7" s="1">
        <v>5</v>
      </c>
      <c r="B7" s="1" t="s">
        <v>172</v>
      </c>
      <c r="C7" s="1">
        <v>6</v>
      </c>
      <c r="D7" s="1" t="s">
        <v>168</v>
      </c>
      <c r="E7" s="1">
        <v>350</v>
      </c>
      <c r="F7" s="1">
        <f t="shared" si="0"/>
        <v>2100</v>
      </c>
    </row>
    <row r="8" spans="1:6" ht="15" x14ac:dyDescent="0.3">
      <c r="A8" s="1">
        <v>6</v>
      </c>
      <c r="B8" s="1" t="s">
        <v>173</v>
      </c>
      <c r="C8" s="1">
        <f>4125/500</f>
        <v>8.25</v>
      </c>
      <c r="D8" s="1" t="s">
        <v>168</v>
      </c>
      <c r="E8" s="1">
        <v>50</v>
      </c>
      <c r="F8" s="1">
        <f t="shared" si="0"/>
        <v>412.5</v>
      </c>
    </row>
    <row r="9" spans="1:6" ht="15" x14ac:dyDescent="0.3">
      <c r="A9" s="1">
        <v>7</v>
      </c>
      <c r="B9" s="1" t="s">
        <v>174</v>
      </c>
      <c r="C9" s="1">
        <f>3500/500</f>
        <v>7</v>
      </c>
      <c r="D9" s="1" t="s">
        <v>168</v>
      </c>
      <c r="E9" s="1">
        <v>20</v>
      </c>
      <c r="F9" s="1">
        <f t="shared" si="0"/>
        <v>140</v>
      </c>
    </row>
    <row r="10" spans="1:6" ht="15" x14ac:dyDescent="0.3">
      <c r="A10" s="1">
        <v>8</v>
      </c>
      <c r="B10" s="1" t="s">
        <v>175</v>
      </c>
      <c r="C10" s="1">
        <v>9</v>
      </c>
      <c r="D10" s="1" t="s">
        <v>168</v>
      </c>
      <c r="E10" s="1">
        <v>60</v>
      </c>
      <c r="F10" s="1">
        <f t="shared" si="0"/>
        <v>540</v>
      </c>
    </row>
    <row r="11" spans="1:6" ht="15" x14ac:dyDescent="0.3">
      <c r="A11" s="1">
        <v>9</v>
      </c>
      <c r="B11" s="1" t="s">
        <v>176</v>
      </c>
      <c r="C11" s="1">
        <v>65</v>
      </c>
      <c r="D11" s="1" t="s">
        <v>177</v>
      </c>
      <c r="E11" s="1">
        <v>7</v>
      </c>
      <c r="F11" s="1">
        <f t="shared" si="0"/>
        <v>455</v>
      </c>
    </row>
    <row r="12" spans="1:6" ht="15" x14ac:dyDescent="0.3">
      <c r="A12" s="1">
        <v>10</v>
      </c>
      <c r="B12" s="1" t="s">
        <v>178</v>
      </c>
      <c r="C12" s="1">
        <v>15</v>
      </c>
      <c r="D12" s="1" t="s">
        <v>168</v>
      </c>
      <c r="E12" s="1">
        <v>25</v>
      </c>
      <c r="F12" s="1">
        <f t="shared" si="0"/>
        <v>375</v>
      </c>
    </row>
    <row r="13" spans="1:6" ht="15" x14ac:dyDescent="0.3">
      <c r="A13" s="1">
        <v>11</v>
      </c>
      <c r="B13" s="1" t="s">
        <v>179</v>
      </c>
      <c r="C13" s="1">
        <v>300</v>
      </c>
      <c r="D13" s="1" t="s">
        <v>168</v>
      </c>
      <c r="E13" s="1">
        <v>4</v>
      </c>
      <c r="F13" s="1">
        <f t="shared" si="0"/>
        <v>1200</v>
      </c>
    </row>
    <row r="14" spans="1:6" ht="15" x14ac:dyDescent="0.3">
      <c r="A14" s="1">
        <v>12</v>
      </c>
      <c r="B14" s="1" t="s">
        <v>180</v>
      </c>
      <c r="C14" s="1">
        <f>1575/3</f>
        <v>525</v>
      </c>
      <c r="D14" s="1" t="s">
        <v>168</v>
      </c>
      <c r="E14" s="1">
        <v>3</v>
      </c>
      <c r="F14" s="1">
        <f t="shared" si="0"/>
        <v>1575</v>
      </c>
    </row>
    <row r="15" spans="1:6" ht="15" x14ac:dyDescent="0.3">
      <c r="A15" s="1">
        <v>13</v>
      </c>
      <c r="B15" s="1" t="s">
        <v>181</v>
      </c>
      <c r="C15" s="1">
        <v>120</v>
      </c>
      <c r="D15" s="1" t="s">
        <v>27</v>
      </c>
      <c r="E15" s="1">
        <v>3</v>
      </c>
      <c r="F15" s="1">
        <f t="shared" si="0"/>
        <v>360</v>
      </c>
    </row>
    <row r="16" spans="1:6" ht="15" x14ac:dyDescent="0.3">
      <c r="A16" s="1">
        <v>14</v>
      </c>
      <c r="B16" s="1" t="s">
        <v>182</v>
      </c>
      <c r="C16" s="1">
        <v>120</v>
      </c>
      <c r="D16" s="1" t="s">
        <v>27</v>
      </c>
      <c r="E16" s="1">
        <v>4</v>
      </c>
      <c r="F16" s="1">
        <f t="shared" si="0"/>
        <v>480</v>
      </c>
    </row>
    <row r="17" spans="1:6" x14ac:dyDescent="0.3">
      <c r="A17" s="1">
        <v>15</v>
      </c>
      <c r="B17" s="1" t="s">
        <v>183</v>
      </c>
      <c r="C17" s="1">
        <v>120</v>
      </c>
      <c r="D17" s="1" t="s">
        <v>27</v>
      </c>
      <c r="E17" s="1">
        <v>3</v>
      </c>
      <c r="F17" s="1">
        <f t="shared" si="0"/>
        <v>360</v>
      </c>
    </row>
    <row r="18" spans="1:6" x14ac:dyDescent="0.3">
      <c r="A18" s="1">
        <v>16</v>
      </c>
      <c r="B18" s="1" t="s">
        <v>184</v>
      </c>
      <c r="C18" s="1">
        <v>17</v>
      </c>
      <c r="D18" s="1" t="s">
        <v>168</v>
      </c>
      <c r="E18" s="1">
        <v>4</v>
      </c>
      <c r="F18" s="1">
        <f t="shared" si="0"/>
        <v>68</v>
      </c>
    </row>
    <row r="19" spans="1:6" x14ac:dyDescent="0.3">
      <c r="A19" s="1">
        <v>17</v>
      </c>
      <c r="B19" s="1" t="s">
        <v>185</v>
      </c>
      <c r="C19" s="1">
        <v>60</v>
      </c>
      <c r="D19" s="1" t="s">
        <v>27</v>
      </c>
      <c r="E19" s="1">
        <v>14</v>
      </c>
      <c r="F19" s="1">
        <f t="shared" si="0"/>
        <v>840</v>
      </c>
    </row>
    <row r="20" spans="1:6" x14ac:dyDescent="0.3">
      <c r="A20" s="1">
        <v>18</v>
      </c>
      <c r="B20" s="1" t="s">
        <v>186</v>
      </c>
      <c r="C20" s="1">
        <v>70</v>
      </c>
      <c r="D20" s="1" t="s">
        <v>27</v>
      </c>
      <c r="E20" s="1">
        <v>1</v>
      </c>
      <c r="F20" s="1">
        <f t="shared" si="0"/>
        <v>70</v>
      </c>
    </row>
    <row r="21" spans="1:6" x14ac:dyDescent="0.3">
      <c r="A21" s="1">
        <v>19</v>
      </c>
      <c r="B21" s="1" t="s">
        <v>187</v>
      </c>
      <c r="C21" s="1">
        <v>90</v>
      </c>
      <c r="D21" s="1" t="s">
        <v>27</v>
      </c>
      <c r="E21" s="1">
        <v>4</v>
      </c>
      <c r="F21" s="1">
        <f t="shared" si="0"/>
        <v>360</v>
      </c>
    </row>
    <row r="22" spans="1:6" x14ac:dyDescent="0.3">
      <c r="A22" s="1">
        <v>20</v>
      </c>
      <c r="B22" s="1" t="s">
        <v>188</v>
      </c>
      <c r="C22" s="1">
        <v>110</v>
      </c>
      <c r="D22" s="1" t="s">
        <v>27</v>
      </c>
      <c r="E22" s="1">
        <v>3</v>
      </c>
      <c r="F22" s="1">
        <f t="shared" si="0"/>
        <v>330</v>
      </c>
    </row>
    <row r="23" spans="1:6" x14ac:dyDescent="0.3">
      <c r="A23" s="1">
        <v>21</v>
      </c>
      <c r="B23" s="1" t="s">
        <v>189</v>
      </c>
      <c r="C23" s="1">
        <v>85</v>
      </c>
      <c r="D23" s="1" t="s">
        <v>27</v>
      </c>
      <c r="E23" s="1">
        <v>12</v>
      </c>
      <c r="F23" s="1">
        <f t="shared" si="0"/>
        <v>1020</v>
      </c>
    </row>
    <row r="24" spans="1:6" x14ac:dyDescent="0.3">
      <c r="A24" s="1">
        <v>22</v>
      </c>
      <c r="B24" s="1" t="s">
        <v>190</v>
      </c>
      <c r="C24" s="1">
        <v>20</v>
      </c>
      <c r="D24" s="1" t="s">
        <v>27</v>
      </c>
      <c r="E24" s="1">
        <v>25</v>
      </c>
      <c r="F24" s="1">
        <f t="shared" si="0"/>
        <v>500</v>
      </c>
    </row>
    <row r="25" spans="1:6" x14ac:dyDescent="0.3">
      <c r="A25" s="1">
        <v>23</v>
      </c>
      <c r="B25" s="1" t="s">
        <v>191</v>
      </c>
      <c r="C25" s="1">
        <v>60</v>
      </c>
      <c r="D25" s="1" t="s">
        <v>168</v>
      </c>
      <c r="E25" s="1">
        <v>7</v>
      </c>
      <c r="F25" s="1">
        <f t="shared" si="0"/>
        <v>420</v>
      </c>
    </row>
    <row r="26" spans="1:6" x14ac:dyDescent="0.3">
      <c r="A26" s="1">
        <v>24</v>
      </c>
      <c r="B26" s="1" t="s">
        <v>192</v>
      </c>
      <c r="C26" s="1">
        <v>55</v>
      </c>
      <c r="D26" s="1" t="s">
        <v>41</v>
      </c>
      <c r="E26" s="1">
        <v>0</v>
      </c>
      <c r="F26" s="1">
        <f t="shared" si="0"/>
        <v>0</v>
      </c>
    </row>
    <row r="27" spans="1:6" x14ac:dyDescent="0.3">
      <c r="A27" s="1">
        <v>25</v>
      </c>
      <c r="B27" s="1" t="s">
        <v>193</v>
      </c>
      <c r="C27" s="1">
        <v>60</v>
      </c>
      <c r="D27" s="1" t="s">
        <v>168</v>
      </c>
      <c r="E27" s="1">
        <v>8</v>
      </c>
      <c r="F27" s="1">
        <f t="shared" si="0"/>
        <v>480</v>
      </c>
    </row>
    <row r="28" spans="1:6" x14ac:dyDescent="0.3">
      <c r="A28" s="1">
        <v>26</v>
      </c>
      <c r="B28" s="1" t="s">
        <v>194</v>
      </c>
      <c r="C28" s="1">
        <f>720/48</f>
        <v>15</v>
      </c>
      <c r="D28" s="1" t="s">
        <v>168</v>
      </c>
      <c r="E28" s="1">
        <v>6</v>
      </c>
      <c r="F28" s="1">
        <f t="shared" si="0"/>
        <v>90</v>
      </c>
    </row>
    <row r="29" spans="1:6" x14ac:dyDescent="0.3">
      <c r="A29" s="1">
        <v>27</v>
      </c>
      <c r="B29" s="1" t="s">
        <v>195</v>
      </c>
      <c r="C29" s="1">
        <v>45</v>
      </c>
      <c r="D29" s="1" t="s">
        <v>168</v>
      </c>
      <c r="E29" s="1">
        <v>10</v>
      </c>
      <c r="F29" s="1">
        <f t="shared" si="0"/>
        <v>450</v>
      </c>
    </row>
    <row r="30" spans="1:6" x14ac:dyDescent="0.3">
      <c r="A30" s="1">
        <v>28</v>
      </c>
      <c r="B30" s="1" t="s">
        <v>196</v>
      </c>
      <c r="C30" s="1">
        <f>360/24</f>
        <v>15</v>
      </c>
      <c r="D30" s="1" t="s">
        <v>168</v>
      </c>
      <c r="E30" s="1">
        <v>6</v>
      </c>
      <c r="F30" s="1">
        <f t="shared" si="0"/>
        <v>90</v>
      </c>
    </row>
    <row r="31" spans="1:6" x14ac:dyDescent="0.3">
      <c r="A31" s="1">
        <v>29</v>
      </c>
      <c r="B31" s="1" t="s">
        <v>197</v>
      </c>
      <c r="C31" s="1">
        <v>110</v>
      </c>
      <c r="D31" s="1" t="s">
        <v>168</v>
      </c>
      <c r="E31" s="1">
        <v>0</v>
      </c>
      <c r="F31" s="1">
        <f t="shared" si="0"/>
        <v>0</v>
      </c>
    </row>
    <row r="32" spans="1:6" x14ac:dyDescent="0.3">
      <c r="A32" s="1">
        <v>30</v>
      </c>
      <c r="B32" s="1" t="s">
        <v>198</v>
      </c>
      <c r="C32" s="1">
        <v>60</v>
      </c>
      <c r="D32" s="1" t="s">
        <v>168</v>
      </c>
      <c r="E32" s="1">
        <v>4</v>
      </c>
      <c r="F32" s="1">
        <f t="shared" si="0"/>
        <v>240</v>
      </c>
    </row>
    <row r="33" spans="1:6" x14ac:dyDescent="0.3">
      <c r="A33" s="1">
        <v>31</v>
      </c>
      <c r="B33" s="1" t="s">
        <v>199</v>
      </c>
      <c r="C33" s="1">
        <v>100</v>
      </c>
      <c r="D33" s="1" t="s">
        <v>168</v>
      </c>
      <c r="E33" s="1">
        <v>1</v>
      </c>
      <c r="F33" s="1">
        <f t="shared" si="0"/>
        <v>100</v>
      </c>
    </row>
    <row r="34" spans="1:6" x14ac:dyDescent="0.3">
      <c r="A34" s="1">
        <v>32</v>
      </c>
      <c r="B34" s="1" t="s">
        <v>200</v>
      </c>
      <c r="C34" s="1">
        <v>150</v>
      </c>
      <c r="D34" s="1" t="s">
        <v>168</v>
      </c>
      <c r="E34" s="1">
        <v>3</v>
      </c>
      <c r="F34" s="1">
        <f t="shared" si="0"/>
        <v>450</v>
      </c>
    </row>
    <row r="35" spans="1:6" x14ac:dyDescent="0.3">
      <c r="A35" s="1">
        <v>33</v>
      </c>
      <c r="B35" s="1" t="s">
        <v>201</v>
      </c>
      <c r="C35" s="1">
        <v>7</v>
      </c>
      <c r="D35" s="1" t="s">
        <v>27</v>
      </c>
      <c r="E35" s="1">
        <v>50</v>
      </c>
      <c r="F35" s="1">
        <f t="shared" si="0"/>
        <v>350</v>
      </c>
    </row>
    <row r="36" spans="1:6" x14ac:dyDescent="0.3">
      <c r="A36" s="1">
        <v>34</v>
      </c>
      <c r="B36" s="1" t="s">
        <v>202</v>
      </c>
      <c r="C36" s="1">
        <v>100</v>
      </c>
      <c r="D36" s="1" t="s">
        <v>41</v>
      </c>
      <c r="E36" s="1">
        <v>1</v>
      </c>
      <c r="F36" s="1">
        <f t="shared" si="0"/>
        <v>100</v>
      </c>
    </row>
    <row r="37" spans="1:6" x14ac:dyDescent="0.3">
      <c r="A37" s="1">
        <v>35</v>
      </c>
      <c r="B37" s="1" t="s">
        <v>203</v>
      </c>
      <c r="C37" s="1">
        <v>15</v>
      </c>
      <c r="D37" s="1" t="s">
        <v>168</v>
      </c>
      <c r="E37" s="1">
        <v>10</v>
      </c>
      <c r="F37" s="1">
        <f t="shared" si="0"/>
        <v>150</v>
      </c>
    </row>
    <row r="38" spans="1:6" x14ac:dyDescent="0.3">
      <c r="A38" s="1">
        <v>36</v>
      </c>
      <c r="B38" s="1" t="s">
        <v>233</v>
      </c>
      <c r="C38" s="1">
        <v>200</v>
      </c>
      <c r="D38" s="1" t="s">
        <v>58</v>
      </c>
      <c r="E38" s="1">
        <v>0.5</v>
      </c>
      <c r="F38" s="1">
        <f t="shared" si="0"/>
        <v>100</v>
      </c>
    </row>
    <row r="39" spans="1:6" x14ac:dyDescent="0.3">
      <c r="A39" s="1">
        <v>37</v>
      </c>
      <c r="B39" s="1" t="s">
        <v>204</v>
      </c>
      <c r="C39" s="1">
        <v>200</v>
      </c>
      <c r="D39" s="1" t="s">
        <v>58</v>
      </c>
      <c r="E39" s="1">
        <v>1</v>
      </c>
      <c r="F39" s="1">
        <f t="shared" si="0"/>
        <v>200</v>
      </c>
    </row>
    <row r="40" spans="1:6" x14ac:dyDescent="0.3">
      <c r="A40" s="1">
        <v>38</v>
      </c>
      <c r="B40" s="1" t="s">
        <v>231</v>
      </c>
      <c r="C40" s="1">
        <v>300</v>
      </c>
      <c r="D40" s="1" t="s">
        <v>58</v>
      </c>
      <c r="E40" s="1">
        <v>1</v>
      </c>
      <c r="F40" s="1">
        <f t="shared" si="0"/>
        <v>300</v>
      </c>
    </row>
    <row r="41" spans="1:6" x14ac:dyDescent="0.3">
      <c r="A41" s="1">
        <v>39</v>
      </c>
      <c r="B41" s="1" t="s">
        <v>232</v>
      </c>
      <c r="C41" s="1">
        <v>200</v>
      </c>
      <c r="D41" s="1" t="s">
        <v>58</v>
      </c>
      <c r="E41" s="1">
        <v>0.5</v>
      </c>
      <c r="F41" s="1">
        <f t="shared" si="0"/>
        <v>100</v>
      </c>
    </row>
    <row r="42" spans="1:6" x14ac:dyDescent="0.3">
      <c r="A42" s="1"/>
      <c r="B42" s="1"/>
      <c r="C42" s="1"/>
      <c r="D42" s="1"/>
      <c r="E42" s="2"/>
      <c r="F42" s="3">
        <f>SUM(F3:F41)</f>
        <v>17394.5</v>
      </c>
    </row>
    <row r="43" spans="1:6" x14ac:dyDescent="0.3">
      <c r="F43" s="7"/>
    </row>
    <row r="44" spans="1:6" x14ac:dyDescent="0.3">
      <c r="F44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F24"/>
  <sheetViews>
    <sheetView tabSelected="1" workbookViewId="0">
      <selection activeCell="H13" sqref="H13"/>
    </sheetView>
  </sheetViews>
  <sheetFormatPr defaultRowHeight="14.4" x14ac:dyDescent="0.3"/>
  <cols>
    <col min="2" max="2" width="18.5546875" bestFit="1" customWidth="1"/>
  </cols>
  <sheetData>
    <row r="3" spans="1:6" x14ac:dyDescent="0.3">
      <c r="A3" s="1" t="s">
        <v>0</v>
      </c>
      <c r="B3" s="1" t="s">
        <v>1</v>
      </c>
      <c r="C3" s="1" t="s">
        <v>133</v>
      </c>
      <c r="D3" s="1" t="s">
        <v>2</v>
      </c>
      <c r="E3" s="5" t="s">
        <v>3</v>
      </c>
      <c r="F3" s="1" t="s">
        <v>165</v>
      </c>
    </row>
    <row r="4" spans="1:6" x14ac:dyDescent="0.3">
      <c r="A4" s="1">
        <v>1</v>
      </c>
      <c r="B4" s="1" t="s">
        <v>205</v>
      </c>
      <c r="C4" s="1">
        <v>120</v>
      </c>
      <c r="D4" s="1" t="s">
        <v>5</v>
      </c>
      <c r="E4" s="1">
        <v>0.5</v>
      </c>
      <c r="F4" s="1">
        <f>C4*E4</f>
        <v>60</v>
      </c>
    </row>
    <row r="5" spans="1:6" x14ac:dyDescent="0.3">
      <c r="A5" s="1">
        <v>2</v>
      </c>
      <c r="B5" s="1" t="s">
        <v>206</v>
      </c>
      <c r="C5" s="1">
        <v>280</v>
      </c>
      <c r="D5" s="1" t="s">
        <v>5</v>
      </c>
      <c r="E5" s="1">
        <v>0.5</v>
      </c>
      <c r="F5" s="1">
        <f t="shared" ref="F5:F23" si="0">C5*E5</f>
        <v>140</v>
      </c>
    </row>
    <row r="6" spans="1:6" x14ac:dyDescent="0.3">
      <c r="A6" s="1">
        <v>3</v>
      </c>
      <c r="B6" s="1" t="s">
        <v>207</v>
      </c>
      <c r="C6" s="1">
        <v>120</v>
      </c>
      <c r="D6" s="1" t="s">
        <v>5</v>
      </c>
      <c r="E6" s="1">
        <v>0.5</v>
      </c>
      <c r="F6" s="1">
        <f t="shared" si="0"/>
        <v>60</v>
      </c>
    </row>
    <row r="7" spans="1:6" x14ac:dyDescent="0.3">
      <c r="A7" s="1">
        <v>4</v>
      </c>
      <c r="B7" s="1" t="s">
        <v>208</v>
      </c>
      <c r="C7" s="1">
        <v>220</v>
      </c>
      <c r="D7" s="1" t="s">
        <v>5</v>
      </c>
      <c r="E7" s="1">
        <v>0.5</v>
      </c>
      <c r="F7" s="1">
        <f t="shared" si="0"/>
        <v>110</v>
      </c>
    </row>
    <row r="8" spans="1:6" x14ac:dyDescent="0.3">
      <c r="A8" s="1">
        <v>5</v>
      </c>
      <c r="B8" s="1" t="s">
        <v>209</v>
      </c>
      <c r="C8" s="1">
        <v>30</v>
      </c>
      <c r="D8" s="1" t="s">
        <v>159</v>
      </c>
      <c r="E8" s="1">
        <v>3</v>
      </c>
      <c r="F8" s="1">
        <f t="shared" si="0"/>
        <v>90</v>
      </c>
    </row>
    <row r="9" spans="1:6" x14ac:dyDescent="0.3">
      <c r="A9" s="1">
        <v>6</v>
      </c>
      <c r="B9" s="1" t="s">
        <v>210</v>
      </c>
      <c r="C9" s="1">
        <v>48</v>
      </c>
      <c r="D9" s="1" t="s">
        <v>5</v>
      </c>
      <c r="E9" s="1">
        <v>0.25</v>
      </c>
      <c r="F9" s="1">
        <f t="shared" si="0"/>
        <v>12</v>
      </c>
    </row>
    <row r="10" spans="1:6" x14ac:dyDescent="0.3">
      <c r="A10" s="1">
        <v>7</v>
      </c>
      <c r="B10" s="1" t="s">
        <v>211</v>
      </c>
      <c r="C10" s="1">
        <v>34</v>
      </c>
      <c r="D10" s="1" t="s">
        <v>5</v>
      </c>
      <c r="E10" s="1">
        <v>2</v>
      </c>
      <c r="F10" s="1">
        <f t="shared" si="0"/>
        <v>68</v>
      </c>
    </row>
    <row r="11" spans="1:6" x14ac:dyDescent="0.3">
      <c r="A11" s="1">
        <v>8</v>
      </c>
      <c r="B11" s="1" t="s">
        <v>212</v>
      </c>
      <c r="C11" s="1">
        <v>25</v>
      </c>
      <c r="D11" s="1" t="s">
        <v>5</v>
      </c>
      <c r="E11" s="1">
        <v>0.25</v>
      </c>
      <c r="F11" s="1">
        <f t="shared" si="0"/>
        <v>6.25</v>
      </c>
    </row>
    <row r="12" spans="1:6" x14ac:dyDescent="0.3">
      <c r="A12" s="1">
        <v>9</v>
      </c>
      <c r="B12" s="1" t="s">
        <v>213</v>
      </c>
      <c r="C12" s="1">
        <v>58</v>
      </c>
      <c r="D12" s="1" t="s">
        <v>5</v>
      </c>
      <c r="E12" s="1">
        <v>10</v>
      </c>
      <c r="F12" s="1">
        <f t="shared" si="0"/>
        <v>580</v>
      </c>
    </row>
    <row r="13" spans="1:6" x14ac:dyDescent="0.3">
      <c r="A13" s="1">
        <v>10</v>
      </c>
      <c r="B13" s="1" t="s">
        <v>214</v>
      </c>
      <c r="C13" s="1">
        <v>24</v>
      </c>
      <c r="D13" s="1" t="s">
        <v>41</v>
      </c>
      <c r="E13" s="1">
        <v>0.25</v>
      </c>
      <c r="F13" s="1">
        <f t="shared" si="0"/>
        <v>6</v>
      </c>
    </row>
    <row r="14" spans="1:6" x14ac:dyDescent="0.3">
      <c r="A14" s="1">
        <v>11</v>
      </c>
      <c r="B14" s="1" t="s">
        <v>215</v>
      </c>
      <c r="C14" s="1">
        <v>38</v>
      </c>
      <c r="D14" s="1" t="s">
        <v>5</v>
      </c>
      <c r="E14" s="1">
        <v>0.25</v>
      </c>
      <c r="F14" s="1">
        <f t="shared" si="0"/>
        <v>9.5</v>
      </c>
    </row>
    <row r="15" spans="1:6" x14ac:dyDescent="0.3">
      <c r="A15" s="1">
        <v>12</v>
      </c>
      <c r="B15" s="1" t="s">
        <v>216</v>
      </c>
      <c r="C15" s="1">
        <v>50</v>
      </c>
      <c r="D15" s="1" t="s">
        <v>168</v>
      </c>
      <c r="E15" s="1">
        <v>4</v>
      </c>
      <c r="F15" s="1">
        <f t="shared" si="0"/>
        <v>200</v>
      </c>
    </row>
    <row r="16" spans="1:6" x14ac:dyDescent="0.3">
      <c r="A16" s="1">
        <v>13</v>
      </c>
      <c r="B16" s="1" t="s">
        <v>217</v>
      </c>
      <c r="C16" s="1">
        <v>30</v>
      </c>
      <c r="D16" s="1" t="s">
        <v>177</v>
      </c>
      <c r="E16" s="1">
        <v>2</v>
      </c>
      <c r="F16" s="1">
        <f t="shared" si="0"/>
        <v>60</v>
      </c>
    </row>
    <row r="17" spans="1:6" x14ac:dyDescent="0.3">
      <c r="A17" s="1">
        <v>14</v>
      </c>
      <c r="B17" s="1" t="s">
        <v>218</v>
      </c>
      <c r="C17" s="1">
        <v>200</v>
      </c>
      <c r="D17" s="1" t="s">
        <v>41</v>
      </c>
      <c r="E17" s="1">
        <v>0</v>
      </c>
      <c r="F17" s="1">
        <f t="shared" si="0"/>
        <v>0</v>
      </c>
    </row>
    <row r="18" spans="1:6" x14ac:dyDescent="0.3">
      <c r="A18" s="1">
        <v>15</v>
      </c>
      <c r="B18" s="1" t="s">
        <v>60</v>
      </c>
      <c r="C18" s="1">
        <v>60</v>
      </c>
      <c r="D18" s="1" t="s">
        <v>221</v>
      </c>
      <c r="E18" s="1">
        <v>1</v>
      </c>
      <c r="F18" s="1">
        <f t="shared" si="0"/>
        <v>60</v>
      </c>
    </row>
    <row r="19" spans="1:6" x14ac:dyDescent="0.3">
      <c r="A19" s="1">
        <v>16</v>
      </c>
      <c r="B19" s="1" t="s">
        <v>222</v>
      </c>
      <c r="C19" s="1">
        <v>20</v>
      </c>
      <c r="D19" s="1" t="s">
        <v>221</v>
      </c>
      <c r="E19" s="1">
        <v>1</v>
      </c>
      <c r="F19" s="1">
        <f t="shared" si="0"/>
        <v>20</v>
      </c>
    </row>
    <row r="20" spans="1:6" x14ac:dyDescent="0.3">
      <c r="A20" s="1">
        <v>17</v>
      </c>
      <c r="B20" s="1" t="s">
        <v>223</v>
      </c>
      <c r="C20" s="1">
        <v>60</v>
      </c>
      <c r="D20" s="1" t="s">
        <v>5</v>
      </c>
      <c r="E20" s="1">
        <v>0.5</v>
      </c>
      <c r="F20" s="1">
        <f t="shared" si="0"/>
        <v>30</v>
      </c>
    </row>
    <row r="21" spans="1:6" x14ac:dyDescent="0.3">
      <c r="A21" s="1">
        <v>18</v>
      </c>
      <c r="B21" s="1" t="s">
        <v>224</v>
      </c>
      <c r="C21" s="1">
        <v>60</v>
      </c>
      <c r="D21" s="1" t="s">
        <v>5</v>
      </c>
      <c r="E21" s="1">
        <v>0.5</v>
      </c>
      <c r="F21" s="1">
        <f t="shared" si="0"/>
        <v>30</v>
      </c>
    </row>
    <row r="22" spans="1:6" x14ac:dyDescent="0.3">
      <c r="A22" s="1">
        <v>19</v>
      </c>
      <c r="B22" s="1" t="s">
        <v>225</v>
      </c>
      <c r="C22" s="1">
        <v>60</v>
      </c>
      <c r="D22" s="1" t="s">
        <v>5</v>
      </c>
      <c r="E22" s="1">
        <v>1</v>
      </c>
      <c r="F22" s="1">
        <f t="shared" si="0"/>
        <v>60</v>
      </c>
    </row>
    <row r="23" spans="1:6" x14ac:dyDescent="0.3">
      <c r="A23" s="1">
        <v>20</v>
      </c>
      <c r="B23" s="1" t="s">
        <v>226</v>
      </c>
      <c r="C23" s="1">
        <v>80</v>
      </c>
      <c r="D23" s="1" t="s">
        <v>5</v>
      </c>
      <c r="E23" s="1">
        <v>0.25</v>
      </c>
      <c r="F23" s="1">
        <f t="shared" si="0"/>
        <v>20</v>
      </c>
    </row>
    <row r="24" spans="1:6" x14ac:dyDescent="0.3">
      <c r="E24" s="6" t="s">
        <v>166</v>
      </c>
      <c r="F24" s="11">
        <f>SUM(F4:F23)</f>
        <v>1621.75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Kirana</vt:lpstr>
      <vt:lpstr>Panner Gas Koyla Chuken Fish</vt:lpstr>
      <vt:lpstr>Packing</vt:lpstr>
      <vt:lpstr>Veg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srinith samala</cp:lastModifiedBy>
  <dcterms:created xsi:type="dcterms:W3CDTF">2025-09-08T06:24:43Z</dcterms:created>
  <dcterms:modified xsi:type="dcterms:W3CDTF">2026-10-25T08:22:19Z</dcterms:modified>
</cp:coreProperties>
</file>